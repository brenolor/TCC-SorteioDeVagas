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orteioDeVagas\"/>
    </mc:Choice>
  </mc:AlternateContent>
  <xr:revisionPtr revIDLastSave="0" documentId="13_ncr:1_{CAFBE65A-4B5D-487D-B435-A5A384BC89D1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Executar" sheetId="1" r:id="rId1"/>
    <sheet name="Sorteio" sheetId="8" r:id="rId2"/>
    <sheet name="Peso dos Apartamentos" sheetId="2" r:id="rId3"/>
    <sheet name="Peso das Vagas" sheetId="3" r:id="rId4"/>
    <sheet name="Histórico dos Sorteios" sheetId="4" r:id="rId5"/>
    <sheet name="Sorteios Escolhidos" sheetId="5" r:id="rId6"/>
  </sheets>
  <definedNames>
    <definedName name="OpenSolverModelParameters" localSheetId="1">Sorteio!$E$56456:$E$112903</definedName>
    <definedName name="solver_adj" localSheetId="1" hidden="1">Sorteio!$E$83:$E$157</definedName>
    <definedName name="solver_cvg" localSheetId="1" hidden="1">0.0001</definedName>
    <definedName name="solver_drv" localSheetId="1" hidden="1">1</definedName>
    <definedName name="solver_eng" localSheetId="2" hidden="1">1</definedName>
    <definedName name="solver_eng" localSheetId="1" hidden="1">2</definedName>
    <definedName name="solver_eng" localSheetId="5" hidden="1">1</definedName>
    <definedName name="solver_est" localSheetId="1" hidden="1">1</definedName>
    <definedName name="solver_itr" localSheetId="1" hidden="1">100</definedName>
    <definedName name="solver_lhs1" localSheetId="1" hidden="1">Sorteio!$E$83:$E$157</definedName>
    <definedName name="solver_lhs2" localSheetId="1" hidden="1">Sorteio!$F$161:$F$175</definedName>
    <definedName name="solver_lhs3" localSheetId="1" hidden="1">Sorteio!$F$179:$F$193</definedName>
    <definedName name="solver_lin" localSheetId="1" hidden="1">1</definedName>
    <definedName name="solver_neg" localSheetId="2" hidden="1">1</definedName>
    <definedName name="solver_neg" localSheetId="1" hidden="1">1</definedName>
    <definedName name="solver_neg" localSheetId="5" hidden="1">1</definedName>
    <definedName name="solver_num" localSheetId="2" hidden="1">0</definedName>
    <definedName name="solver_num" localSheetId="1" hidden="1">3</definedName>
    <definedName name="solver_num" localSheetId="5" hidden="1">0</definedName>
    <definedName name="solver_nwt" localSheetId="1" hidden="1">1</definedName>
    <definedName name="solver_opt" localSheetId="2" hidden="1">'Peso dos Apartamentos'!$B$2</definedName>
    <definedName name="solver_opt" localSheetId="1" hidden="1">Sorteio!$B$1</definedName>
    <definedName name="solver_opt" localSheetId="5" hidden="1">'Sorteios Escolhidos'!$A$17</definedName>
    <definedName name="solver_pre" localSheetId="1" hidden="1">0.000001</definedName>
    <definedName name="solver_rel1" localSheetId="1" hidden="1">5</definedName>
    <definedName name="solver_rel2" localSheetId="1" hidden="1">1</definedName>
    <definedName name="solver_rel3" localSheetId="1" hidden="1">1</definedName>
    <definedName name="solver_rhs1" localSheetId="1" hidden="1">binário</definedName>
    <definedName name="solver_rhs2" localSheetId="1" hidden="1">Sorteio!$H$161:$H$175</definedName>
    <definedName name="solver_rhs3" localSheetId="1" hidden="1">Sorteio!$H$179:$H$193</definedName>
    <definedName name="solver_scl" localSheetId="1" hidden="1">2</definedName>
    <definedName name="solver_sho" localSheetId="1" hidden="1">2</definedName>
    <definedName name="solver_tim" localSheetId="1" hidden="1">9999999999</definedName>
    <definedName name="solver_tol" localSheetId="1" hidden="1">0.05</definedName>
    <definedName name="solver_typ" localSheetId="2" hidden="1">1</definedName>
    <definedName name="solver_typ" localSheetId="1" hidden="1">1</definedName>
    <definedName name="solver_typ" localSheetId="5" hidden="1">1</definedName>
    <definedName name="solver_val" localSheetId="2" hidden="1">0</definedName>
    <definedName name="solver_val" localSheetId="1" hidden="1">0</definedName>
    <definedName name="solver_val" localSheetId="5" hidden="1">0</definedName>
    <definedName name="solver_ver" localSheetId="2" hidden="1">3</definedName>
    <definedName name="solver_ver" localSheetId="1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93" i="8" l="1"/>
  <c r="D193" i="8"/>
  <c r="C193" i="8"/>
  <c r="B193" i="8"/>
  <c r="A193" i="8"/>
  <c r="E192" i="8"/>
  <c r="D192" i="8"/>
  <c r="C192" i="8"/>
  <c r="B192" i="8"/>
  <c r="A192" i="8"/>
  <c r="E191" i="8"/>
  <c r="D191" i="8"/>
  <c r="C191" i="8"/>
  <c r="B191" i="8"/>
  <c r="A191" i="8"/>
  <c r="E190" i="8"/>
  <c r="D190" i="8"/>
  <c r="C190" i="8"/>
  <c r="B190" i="8"/>
  <c r="A190" i="8"/>
  <c r="E189" i="8"/>
  <c r="D189" i="8"/>
  <c r="C189" i="8"/>
  <c r="B189" i="8"/>
  <c r="A189" i="8"/>
  <c r="E188" i="8"/>
  <c r="D188" i="8"/>
  <c r="C188" i="8"/>
  <c r="B188" i="8"/>
  <c r="A188" i="8"/>
  <c r="E187" i="8"/>
  <c r="D187" i="8"/>
  <c r="C187" i="8"/>
  <c r="B187" i="8"/>
  <c r="A187" i="8"/>
  <c r="E186" i="8"/>
  <c r="D186" i="8"/>
  <c r="C186" i="8"/>
  <c r="B186" i="8"/>
  <c r="A186" i="8"/>
  <c r="E185" i="8"/>
  <c r="D185" i="8"/>
  <c r="C185" i="8"/>
  <c r="B185" i="8"/>
  <c r="A185" i="8"/>
  <c r="E184" i="8"/>
  <c r="D184" i="8"/>
  <c r="C184" i="8"/>
  <c r="B184" i="8"/>
  <c r="A184" i="8"/>
  <c r="E183" i="8"/>
  <c r="D183" i="8"/>
  <c r="C183" i="8"/>
  <c r="B183" i="8"/>
  <c r="A183" i="8"/>
  <c r="E182" i="8"/>
  <c r="D182" i="8"/>
  <c r="C182" i="8"/>
  <c r="B182" i="8"/>
  <c r="A182" i="8"/>
  <c r="E181" i="8"/>
  <c r="D181" i="8"/>
  <c r="C181" i="8"/>
  <c r="B181" i="8"/>
  <c r="A181" i="8"/>
  <c r="E180" i="8"/>
  <c r="D180" i="8"/>
  <c r="C180" i="8"/>
  <c r="B180" i="8"/>
  <c r="A180" i="8"/>
  <c r="E179" i="8"/>
  <c r="D179" i="8"/>
  <c r="C179" i="8"/>
  <c r="B179" i="8"/>
  <c r="A179" i="8"/>
  <c r="E175" i="8"/>
  <c r="D175" i="8"/>
  <c r="C175" i="8"/>
  <c r="B175" i="8"/>
  <c r="A175" i="8"/>
  <c r="E174" i="8"/>
  <c r="D174" i="8"/>
  <c r="C174" i="8"/>
  <c r="B174" i="8"/>
  <c r="A174" i="8"/>
  <c r="E173" i="8"/>
  <c r="D173" i="8"/>
  <c r="C173" i="8"/>
  <c r="B173" i="8"/>
  <c r="A173" i="8"/>
  <c r="E172" i="8"/>
  <c r="D172" i="8"/>
  <c r="C172" i="8"/>
  <c r="B172" i="8"/>
  <c r="A172" i="8"/>
  <c r="E171" i="8"/>
  <c r="D171" i="8"/>
  <c r="C171" i="8"/>
  <c r="B171" i="8"/>
  <c r="A171" i="8"/>
  <c r="E170" i="8"/>
  <c r="D170" i="8"/>
  <c r="C170" i="8"/>
  <c r="B170" i="8"/>
  <c r="A170" i="8"/>
  <c r="E169" i="8"/>
  <c r="D169" i="8"/>
  <c r="C169" i="8"/>
  <c r="B169" i="8"/>
  <c r="A169" i="8"/>
  <c r="E168" i="8"/>
  <c r="D168" i="8"/>
  <c r="C168" i="8"/>
  <c r="B168" i="8"/>
  <c r="A168" i="8"/>
  <c r="E167" i="8"/>
  <c r="D167" i="8"/>
  <c r="C167" i="8"/>
  <c r="B167" i="8"/>
  <c r="A167" i="8"/>
  <c r="E166" i="8"/>
  <c r="D166" i="8"/>
  <c r="C166" i="8"/>
  <c r="B166" i="8"/>
  <c r="A166" i="8"/>
  <c r="E165" i="8"/>
  <c r="D165" i="8"/>
  <c r="C165" i="8"/>
  <c r="B165" i="8"/>
  <c r="A165" i="8"/>
  <c r="E164" i="8"/>
  <c r="D164" i="8"/>
  <c r="C164" i="8"/>
  <c r="B164" i="8"/>
  <c r="A164" i="8"/>
  <c r="E163" i="8"/>
  <c r="D163" i="8"/>
  <c r="C163" i="8"/>
  <c r="B163" i="8"/>
  <c r="A163" i="8"/>
  <c r="E162" i="8"/>
  <c r="D162" i="8"/>
  <c r="C162" i="8"/>
  <c r="B162" i="8"/>
  <c r="A162" i="8"/>
  <c r="E161" i="8"/>
  <c r="D161" i="8"/>
  <c r="C161" i="8"/>
  <c r="B161" i="8"/>
  <c r="A161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B1" i="8" l="1"/>
  <c r="F165" i="8"/>
  <c r="F185" i="8"/>
  <c r="F179" i="8"/>
  <c r="F191" i="8"/>
  <c r="F180" i="8"/>
  <c r="F164" i="8"/>
  <c r="F170" i="8"/>
  <c r="F171" i="8"/>
  <c r="F186" i="8"/>
  <c r="F192" i="8"/>
  <c r="F172" i="8"/>
  <c r="F187" i="8"/>
  <c r="F190" i="8"/>
  <c r="F175" i="8"/>
  <c r="F168" i="8"/>
  <c r="F183" i="8"/>
  <c r="F163" i="8"/>
  <c r="F161" i="8"/>
  <c r="F173" i="8"/>
  <c r="F188" i="8"/>
  <c r="F166" i="8"/>
  <c r="F181" i="8"/>
  <c r="F193" i="8"/>
  <c r="F184" i="8"/>
  <c r="F169" i="8"/>
  <c r="F162" i="8"/>
  <c r="F174" i="8"/>
  <c r="F189" i="8"/>
  <c r="F167" i="8"/>
  <c r="F182" i="8"/>
</calcChain>
</file>

<file path=xl/sharedStrings.xml><?xml version="1.0" encoding="utf-8"?>
<sst xmlns="http://schemas.openxmlformats.org/spreadsheetml/2006/main" count="312" uniqueCount="102">
  <si>
    <t>Apartamento</t>
  </si>
  <si>
    <t>Bloco</t>
  </si>
  <si>
    <t>Idoso</t>
  </si>
  <si>
    <t>Deficiente Físico</t>
  </si>
  <si>
    <t>Gestante</t>
  </si>
  <si>
    <t>Inadimplente</t>
  </si>
  <si>
    <t>Distância</t>
  </si>
  <si>
    <t>Soma</t>
  </si>
  <si>
    <t>Vaga</t>
  </si>
  <si>
    <t>S(a,b,v)</t>
  </si>
  <si>
    <t>Coeficiente</t>
  </si>
  <si>
    <t>S(1,1,1)</t>
  </si>
  <si>
    <t>S(1,1,2)</t>
  </si>
  <si>
    <t>S(1,1,3)</t>
  </si>
  <si>
    <t>S(1,1,4)</t>
  </si>
  <si>
    <t>S(2,1,1)</t>
  </si>
  <si>
    <t>S(2,1,2)</t>
  </si>
  <si>
    <t>S(2,1,3)</t>
  </si>
  <si>
    <t>S(2,1,4)</t>
  </si>
  <si>
    <t>S(3,1,1)</t>
  </si>
  <si>
    <t>S(3,1,2)</t>
  </si>
  <si>
    <t>S(3,1,3)</t>
  </si>
  <si>
    <t>S(3,1,4)</t>
  </si>
  <si>
    <t>S(4,1,1)</t>
  </si>
  <si>
    <t>S(4,1,2)</t>
  </si>
  <si>
    <t>S(4,1,3)</t>
  </si>
  <si>
    <t>S(4,1,4)</t>
  </si>
  <si>
    <t>S(5,1,1)</t>
  </si>
  <si>
    <t>S(5,1,2)</t>
  </si>
  <si>
    <t>S(5,1,3)</t>
  </si>
  <si>
    <t>S(5,1,4)</t>
  </si>
  <si>
    <t>Função Objetivo do Sorteio</t>
  </si>
  <si>
    <t>Coeficientes da Função Objetivo</t>
  </si>
  <si>
    <t>Variáveis</t>
  </si>
  <si>
    <t>Valor</t>
  </si>
  <si>
    <t>Primeira Restrição</t>
  </si>
  <si>
    <t>Cálculo</t>
  </si>
  <si>
    <t>Operador</t>
  </si>
  <si>
    <t>&lt;=</t>
  </si>
  <si>
    <t>Segunda Restrição</t>
  </si>
  <si>
    <t>S(1,1,5)</t>
  </si>
  <si>
    <t>S(2,1,5)</t>
  </si>
  <si>
    <t>S(3,1,5)</t>
  </si>
  <si>
    <t>S(4,1,5)</t>
  </si>
  <si>
    <t>S(5,1,5)</t>
  </si>
  <si>
    <t>Apartamentos:</t>
  </si>
  <si>
    <t>Blocos:</t>
  </si>
  <si>
    <t>Vagas:</t>
  </si>
  <si>
    <t>Tipo:</t>
  </si>
  <si>
    <t>Vagas</t>
  </si>
  <si>
    <t>Proteção Contra intempéries</t>
  </si>
  <si>
    <t>Vaga Presa</t>
  </si>
  <si>
    <t>S(1,2,1)</t>
  </si>
  <si>
    <t>S(1,2,2)</t>
  </si>
  <si>
    <t>S(1,2,3)</t>
  </si>
  <si>
    <t>S(1,2,4)</t>
  </si>
  <si>
    <t>S(1,2,5)</t>
  </si>
  <si>
    <t>S(1,3,1)</t>
  </si>
  <si>
    <t>S(1,3,2)</t>
  </si>
  <si>
    <t>S(1,3,3)</t>
  </si>
  <si>
    <t>S(1,3,4)</t>
  </si>
  <si>
    <t>S(1,3,5)</t>
  </si>
  <si>
    <t>S(2,2,1)</t>
  </si>
  <si>
    <t>S(2,2,2)</t>
  </si>
  <si>
    <t>S(2,2,3)</t>
  </si>
  <si>
    <t>S(2,2,4)</t>
  </si>
  <si>
    <t>S(2,2,5)</t>
  </si>
  <si>
    <t>S(2,3,1)</t>
  </si>
  <si>
    <t>S(2,3,2)</t>
  </si>
  <si>
    <t>S(2,3,3)</t>
  </si>
  <si>
    <t>S(2,3,4)</t>
  </si>
  <si>
    <t>S(2,3,5)</t>
  </si>
  <si>
    <t>S(3,2,1)</t>
  </si>
  <si>
    <t>S(3,2,2)</t>
  </si>
  <si>
    <t>S(3,2,3)</t>
  </si>
  <si>
    <t>S(3,2,4)</t>
  </si>
  <si>
    <t>S(3,2,5)</t>
  </si>
  <si>
    <t>S(3,3,1)</t>
  </si>
  <si>
    <t>S(3,3,2)</t>
  </si>
  <si>
    <t>S(3,3,3)</t>
  </si>
  <si>
    <t>S(3,3,4)</t>
  </si>
  <si>
    <t>S(3,3,5)</t>
  </si>
  <si>
    <t>S(4,2,1)</t>
  </si>
  <si>
    <t>S(4,2,2)</t>
  </si>
  <si>
    <t>S(4,2,3)</t>
  </si>
  <si>
    <t>S(4,2,4)</t>
  </si>
  <si>
    <t>S(4,2,5)</t>
  </si>
  <si>
    <t>S(4,3,1)</t>
  </si>
  <si>
    <t>S(4,3,2)</t>
  </si>
  <si>
    <t>S(4,3,3)</t>
  </si>
  <si>
    <t>S(4,3,4)</t>
  </si>
  <si>
    <t>S(4,3,5)</t>
  </si>
  <si>
    <t>S(5,2,1)</t>
  </si>
  <si>
    <t>S(5,2,2)</t>
  </si>
  <si>
    <t>S(5,2,3)</t>
  </si>
  <si>
    <t>S(5,2,4)</t>
  </si>
  <si>
    <t>S(5,2,5)</t>
  </si>
  <si>
    <t>S(5,3,1)</t>
  </si>
  <si>
    <t>S(5,3,2)</t>
  </si>
  <si>
    <t>S(5,3,3)</t>
  </si>
  <si>
    <t>S(5,3,4)</t>
  </si>
  <si>
    <t>S(5,3,5)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</si>
</sst>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171450</xdr:rowOff>
        </xdr:from>
        <xdr:to>
          <xdr:col>4</xdr:col>
          <xdr:colOff>19050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91BBCC-4AC6-42DF-8649-77158750797F}" name="TabelaDoSorteio" displayName="TabelaDoSorteio" ref="A1:C16" totalsRowShown="0">
  <autoFilter ref="A1:C16" xr:uid="{459B9EF4-3FF8-4F57-9704-EB08B73906ED}"/>
  <tableColumns count="3">
    <tableColumn id="1" xr3:uid="{04FF972A-D995-4325-8D26-879144F1F34B}" name="Apartamento"/>
    <tableColumn id="2" xr3:uid="{08E74FE2-C1A6-4715-9C55-51AD977FF38C}" name="Bloco"/>
    <tableColumn id="3" xr3:uid="{F47535EF-ADDD-4CDA-830D-E741AB669990}" name="Vag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workbookViewId="0">
      <selection activeCell="I12" sqref="I12"/>
    </sheetView>
  </sheetViews>
  <sheetFormatPr defaultRowHeight="15" x14ac:dyDescent="0.25"/>
  <sheetData/>
  <sheetProtection password="CC9A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charAbertura">
                <anchor moveWithCells="1" sizeWithCells="1">
                  <from>
                    <xdr:col>0</xdr:col>
                    <xdr:colOff>600075</xdr:colOff>
                    <xdr:row>0</xdr:row>
                    <xdr:rowOff>171450</xdr:rowOff>
                  </from>
                  <to>
                    <xdr:col>4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H193"/>
  <sheetViews>
    <sheetView topLeftCell="A138" workbookViewId="0">
      <selection activeCell="E158" sqref="E158"/>
    </sheetView>
  </sheetViews>
  <sheetFormatPr defaultRowHeight="15" x14ac:dyDescent="0.25"/>
  <sheetData>
    <row r="1" spans="1:5" x14ac:dyDescent="0.25">
      <c r="A1" t="s">
        <v>31</v>
      </c>
      <c r="B1">
        <f>SUMPRODUCT(Sorteio!$E$5:$E$79,Sorteio!$E$83:$E$157)</f>
        <v>0</v>
      </c>
    </row>
    <row r="3" spans="1:5" x14ac:dyDescent="0.25">
      <c r="A3" t="s">
        <v>32</v>
      </c>
    </row>
    <row r="4" spans="1:5" x14ac:dyDescent="0.25">
      <c r="A4" t="s">
        <v>0</v>
      </c>
      <c r="B4" t="s">
        <v>1</v>
      </c>
      <c r="C4" t="s">
        <v>8</v>
      </c>
      <c r="D4" t="s">
        <v>9</v>
      </c>
      <c r="E4" t="s">
        <v>10</v>
      </c>
    </row>
    <row r="5" spans="1:5" x14ac:dyDescent="0.25">
      <c r="A5">
        <v>1</v>
      </c>
      <c r="B5">
        <v>1</v>
      </c>
      <c r="C5">
        <v>1</v>
      </c>
      <c r="D5" t="s">
        <v>11</v>
      </c>
      <c r="E5">
        <f>'Peso dos Apartamentos'!H2 * 'Peso das Vagas'!F2 * 'Histórico dos Sorteios'!E2</f>
        <v>3</v>
      </c>
    </row>
    <row r="6" spans="1:5" x14ac:dyDescent="0.25">
      <c r="A6">
        <v>1</v>
      </c>
      <c r="B6">
        <v>1</v>
      </c>
      <c r="C6">
        <v>2</v>
      </c>
      <c r="D6" t="s">
        <v>12</v>
      </c>
      <c r="E6">
        <f>'Peso dos Apartamentos'!H2 * 'Peso das Vagas'!F3 * 'Histórico dos Sorteios'!E3</f>
        <v>0</v>
      </c>
    </row>
    <row r="7" spans="1:5" x14ac:dyDescent="0.25">
      <c r="A7">
        <v>1</v>
      </c>
      <c r="B7">
        <v>1</v>
      </c>
      <c r="C7">
        <v>3</v>
      </c>
      <c r="D7" t="s">
        <v>13</v>
      </c>
      <c r="E7">
        <f>'Peso dos Apartamentos'!H2 * 'Peso das Vagas'!F4 * 'Histórico dos Sorteios'!E4</f>
        <v>5</v>
      </c>
    </row>
    <row r="8" spans="1:5" x14ac:dyDescent="0.25">
      <c r="A8">
        <v>1</v>
      </c>
      <c r="B8">
        <v>1</v>
      </c>
      <c r="C8">
        <v>4</v>
      </c>
      <c r="D8" t="s">
        <v>14</v>
      </c>
      <c r="E8">
        <f>'Peso dos Apartamentos'!H2 * 'Peso das Vagas'!F5 * 'Histórico dos Sorteios'!E5</f>
        <v>4</v>
      </c>
    </row>
    <row r="9" spans="1:5" x14ac:dyDescent="0.25">
      <c r="A9">
        <v>1</v>
      </c>
      <c r="B9">
        <v>1</v>
      </c>
      <c r="C9">
        <v>5</v>
      </c>
      <c r="D9" t="s">
        <v>40</v>
      </c>
      <c r="E9">
        <f>'Peso dos Apartamentos'!H2 * 'Peso das Vagas'!F6 * 'Histórico dos Sorteios'!E6</f>
        <v>3</v>
      </c>
    </row>
    <row r="10" spans="1:5" x14ac:dyDescent="0.25">
      <c r="A10">
        <v>1</v>
      </c>
      <c r="B10">
        <v>2</v>
      </c>
      <c r="C10">
        <v>1</v>
      </c>
      <c r="D10" t="s">
        <v>52</v>
      </c>
      <c r="E10">
        <f>'Peso dos Apartamentos'!H7 * 'Peso das Vagas'!F7 * 'Histórico dos Sorteios'!E7</f>
        <v>3</v>
      </c>
    </row>
    <row r="11" spans="1:5" x14ac:dyDescent="0.25">
      <c r="A11">
        <v>1</v>
      </c>
      <c r="B11">
        <v>2</v>
      </c>
      <c r="C11">
        <v>2</v>
      </c>
      <c r="D11" t="s">
        <v>53</v>
      </c>
      <c r="E11">
        <f>'Peso dos Apartamentos'!H7 * 'Peso das Vagas'!F8 * 'Histórico dos Sorteios'!E8</f>
        <v>4</v>
      </c>
    </row>
    <row r="12" spans="1:5" x14ac:dyDescent="0.25">
      <c r="A12">
        <v>1</v>
      </c>
      <c r="B12">
        <v>2</v>
      </c>
      <c r="C12">
        <v>3</v>
      </c>
      <c r="D12" t="s">
        <v>54</v>
      </c>
      <c r="E12">
        <f>'Peso dos Apartamentos'!H7 * 'Peso das Vagas'!F9 * 'Histórico dos Sorteios'!E9</f>
        <v>0</v>
      </c>
    </row>
    <row r="13" spans="1:5" x14ac:dyDescent="0.25">
      <c r="A13">
        <v>1</v>
      </c>
      <c r="B13">
        <v>2</v>
      </c>
      <c r="C13">
        <v>4</v>
      </c>
      <c r="D13" t="s">
        <v>55</v>
      </c>
      <c r="E13">
        <f>'Peso dos Apartamentos'!H7 * 'Peso das Vagas'!F10 * 'Histórico dos Sorteios'!E10</f>
        <v>4</v>
      </c>
    </row>
    <row r="14" spans="1:5" x14ac:dyDescent="0.25">
      <c r="A14">
        <v>1</v>
      </c>
      <c r="B14">
        <v>2</v>
      </c>
      <c r="C14">
        <v>5</v>
      </c>
      <c r="D14" t="s">
        <v>56</v>
      </c>
      <c r="E14">
        <f>'Peso dos Apartamentos'!H7 * 'Peso das Vagas'!F11 * 'Histórico dos Sorteios'!E11</f>
        <v>3</v>
      </c>
    </row>
    <row r="15" spans="1:5" x14ac:dyDescent="0.25">
      <c r="A15">
        <v>1</v>
      </c>
      <c r="B15">
        <v>3</v>
      </c>
      <c r="C15">
        <v>1</v>
      </c>
      <c r="D15" t="s">
        <v>57</v>
      </c>
      <c r="E15">
        <f>'Peso dos Apartamentos'!H12 * 'Peso das Vagas'!F12 * 'Histórico dos Sorteios'!E12</f>
        <v>3</v>
      </c>
    </row>
    <row r="16" spans="1:5" x14ac:dyDescent="0.25">
      <c r="A16">
        <v>1</v>
      </c>
      <c r="B16">
        <v>3</v>
      </c>
      <c r="C16">
        <v>2</v>
      </c>
      <c r="D16" t="s">
        <v>58</v>
      </c>
      <c r="E16">
        <f>'Peso dos Apartamentos'!H12 * 'Peso das Vagas'!F13 * 'Histórico dos Sorteios'!E13</f>
        <v>4</v>
      </c>
    </row>
    <row r="17" spans="1:5" x14ac:dyDescent="0.25">
      <c r="A17">
        <v>1</v>
      </c>
      <c r="B17">
        <v>3</v>
      </c>
      <c r="C17">
        <v>3</v>
      </c>
      <c r="D17" t="s">
        <v>59</v>
      </c>
      <c r="E17">
        <f>'Peso dos Apartamentos'!H12 * 'Peso das Vagas'!F14 * 'Histórico dos Sorteios'!E14</f>
        <v>5</v>
      </c>
    </row>
    <row r="18" spans="1:5" x14ac:dyDescent="0.25">
      <c r="A18">
        <v>1</v>
      </c>
      <c r="B18">
        <v>3</v>
      </c>
      <c r="C18">
        <v>4</v>
      </c>
      <c r="D18" t="s">
        <v>60</v>
      </c>
      <c r="E18">
        <f>'Peso dos Apartamentos'!H12 * 'Peso das Vagas'!F15 * 'Histórico dos Sorteios'!E15</f>
        <v>0</v>
      </c>
    </row>
    <row r="19" spans="1:5" x14ac:dyDescent="0.25">
      <c r="A19">
        <v>1</v>
      </c>
      <c r="B19">
        <v>3</v>
      </c>
      <c r="C19">
        <v>5</v>
      </c>
      <c r="D19" t="s">
        <v>61</v>
      </c>
      <c r="E19">
        <f>'Peso dos Apartamentos'!H12 * 'Peso das Vagas'!F16 * 'Histórico dos Sorteios'!E16</f>
        <v>3</v>
      </c>
    </row>
    <row r="20" spans="1:5" x14ac:dyDescent="0.25">
      <c r="A20">
        <v>2</v>
      </c>
      <c r="B20">
        <v>1</v>
      </c>
      <c r="C20">
        <v>1</v>
      </c>
      <c r="D20" t="s">
        <v>15</v>
      </c>
      <c r="E20">
        <f>'Peso dos Apartamentos'!H3 * 'Peso das Vagas'!F2 * 'Histórico dos Sorteios'!E17</f>
        <v>0</v>
      </c>
    </row>
    <row r="21" spans="1:5" x14ac:dyDescent="0.25">
      <c r="A21">
        <v>2</v>
      </c>
      <c r="B21">
        <v>1</v>
      </c>
      <c r="C21">
        <v>2</v>
      </c>
      <c r="D21" t="s">
        <v>16</v>
      </c>
      <c r="E21">
        <f>'Peso dos Apartamentos'!H3 * 'Peso das Vagas'!F3 * 'Histórico dos Sorteios'!E18</f>
        <v>4</v>
      </c>
    </row>
    <row r="22" spans="1:5" x14ac:dyDescent="0.25">
      <c r="A22">
        <v>2</v>
      </c>
      <c r="B22">
        <v>1</v>
      </c>
      <c r="C22">
        <v>3</v>
      </c>
      <c r="D22" t="s">
        <v>17</v>
      </c>
      <c r="E22">
        <f>'Peso dos Apartamentos'!H3 * 'Peso das Vagas'!F4 * 'Histórico dos Sorteios'!E19</f>
        <v>5</v>
      </c>
    </row>
    <row r="23" spans="1:5" x14ac:dyDescent="0.25">
      <c r="A23">
        <v>2</v>
      </c>
      <c r="B23">
        <v>1</v>
      </c>
      <c r="C23">
        <v>4</v>
      </c>
      <c r="D23" t="s">
        <v>18</v>
      </c>
      <c r="E23">
        <f>'Peso dos Apartamentos'!H3 * 'Peso das Vagas'!F5 * 'Histórico dos Sorteios'!E20</f>
        <v>4</v>
      </c>
    </row>
    <row r="24" spans="1:5" x14ac:dyDescent="0.25">
      <c r="A24">
        <v>2</v>
      </c>
      <c r="B24">
        <v>1</v>
      </c>
      <c r="C24">
        <v>5</v>
      </c>
      <c r="D24" t="s">
        <v>41</v>
      </c>
      <c r="E24">
        <f>'Peso dos Apartamentos'!H3 * 'Peso das Vagas'!F6 * 'Histórico dos Sorteios'!E21</f>
        <v>3</v>
      </c>
    </row>
    <row r="25" spans="1:5" x14ac:dyDescent="0.25">
      <c r="A25">
        <v>2</v>
      </c>
      <c r="B25">
        <v>2</v>
      </c>
      <c r="C25">
        <v>1</v>
      </c>
      <c r="D25" t="s">
        <v>62</v>
      </c>
      <c r="E25">
        <f>'Peso dos Apartamentos'!H8 * 'Peso das Vagas'!F7 * 'Histórico dos Sorteios'!E22</f>
        <v>3</v>
      </c>
    </row>
    <row r="26" spans="1:5" x14ac:dyDescent="0.25">
      <c r="A26">
        <v>2</v>
      </c>
      <c r="B26">
        <v>2</v>
      </c>
      <c r="C26">
        <v>2</v>
      </c>
      <c r="D26" t="s">
        <v>63</v>
      </c>
      <c r="E26">
        <f>'Peso dos Apartamentos'!H8 * 'Peso das Vagas'!F8 * 'Histórico dos Sorteios'!E23</f>
        <v>4</v>
      </c>
    </row>
    <row r="27" spans="1:5" x14ac:dyDescent="0.25">
      <c r="A27">
        <v>2</v>
      </c>
      <c r="B27">
        <v>2</v>
      </c>
      <c r="C27">
        <v>3</v>
      </c>
      <c r="D27" t="s">
        <v>64</v>
      </c>
      <c r="E27">
        <f>'Peso dos Apartamentos'!H8 * 'Peso das Vagas'!F9 * 'Histórico dos Sorteios'!E24</f>
        <v>5</v>
      </c>
    </row>
    <row r="28" spans="1:5" x14ac:dyDescent="0.25">
      <c r="A28">
        <v>2</v>
      </c>
      <c r="B28">
        <v>2</v>
      </c>
      <c r="C28">
        <v>4</v>
      </c>
      <c r="D28" t="s">
        <v>65</v>
      </c>
      <c r="E28">
        <f>'Peso dos Apartamentos'!H8 * 'Peso das Vagas'!F10 * 'Histórico dos Sorteios'!E25</f>
        <v>0</v>
      </c>
    </row>
    <row r="29" spans="1:5" x14ac:dyDescent="0.25">
      <c r="A29">
        <v>2</v>
      </c>
      <c r="B29">
        <v>2</v>
      </c>
      <c r="C29">
        <v>5</v>
      </c>
      <c r="D29" t="s">
        <v>66</v>
      </c>
      <c r="E29">
        <f>'Peso dos Apartamentos'!H8 * 'Peso das Vagas'!F11 * 'Histórico dos Sorteios'!E26</f>
        <v>3</v>
      </c>
    </row>
    <row r="30" spans="1:5" x14ac:dyDescent="0.25">
      <c r="A30">
        <v>2</v>
      </c>
      <c r="B30">
        <v>3</v>
      </c>
      <c r="C30">
        <v>1</v>
      </c>
      <c r="D30" t="s">
        <v>67</v>
      </c>
      <c r="E30">
        <f>'Peso dos Apartamentos'!H13 * 'Peso das Vagas'!F12 * 'Histórico dos Sorteios'!E27</f>
        <v>0</v>
      </c>
    </row>
    <row r="31" spans="1:5" x14ac:dyDescent="0.25">
      <c r="A31">
        <v>2</v>
      </c>
      <c r="B31">
        <v>3</v>
      </c>
      <c r="C31">
        <v>2</v>
      </c>
      <c r="D31" t="s">
        <v>68</v>
      </c>
      <c r="E31">
        <f>'Peso dos Apartamentos'!H13 * 'Peso das Vagas'!F13 * 'Histórico dos Sorteios'!E28</f>
        <v>4</v>
      </c>
    </row>
    <row r="32" spans="1:5" x14ac:dyDescent="0.25">
      <c r="A32">
        <v>2</v>
      </c>
      <c r="B32">
        <v>3</v>
      </c>
      <c r="C32">
        <v>3</v>
      </c>
      <c r="D32" t="s">
        <v>69</v>
      </c>
      <c r="E32">
        <f>'Peso dos Apartamentos'!H13 * 'Peso das Vagas'!F14 * 'Histórico dos Sorteios'!E29</f>
        <v>5</v>
      </c>
    </row>
    <row r="33" spans="1:5" x14ac:dyDescent="0.25">
      <c r="A33">
        <v>2</v>
      </c>
      <c r="B33">
        <v>3</v>
      </c>
      <c r="C33">
        <v>4</v>
      </c>
      <c r="D33" t="s">
        <v>70</v>
      </c>
      <c r="E33">
        <f>'Peso dos Apartamentos'!H13 * 'Peso das Vagas'!F15 * 'Histórico dos Sorteios'!E30</f>
        <v>4</v>
      </c>
    </row>
    <row r="34" spans="1:5" x14ac:dyDescent="0.25">
      <c r="A34">
        <v>2</v>
      </c>
      <c r="B34">
        <v>3</v>
      </c>
      <c r="C34">
        <v>5</v>
      </c>
      <c r="D34" t="s">
        <v>71</v>
      </c>
      <c r="E34">
        <f>'Peso dos Apartamentos'!H13 * 'Peso das Vagas'!F16 * 'Histórico dos Sorteios'!E31</f>
        <v>3</v>
      </c>
    </row>
    <row r="35" spans="1:5" x14ac:dyDescent="0.25">
      <c r="A35">
        <v>3</v>
      </c>
      <c r="B35">
        <v>1</v>
      </c>
      <c r="C35">
        <v>1</v>
      </c>
      <c r="D35" t="s">
        <v>19</v>
      </c>
      <c r="E35">
        <f>'Peso dos Apartamentos'!H4 * 'Peso das Vagas'!F2 * 'Histórico dos Sorteios'!E32</f>
        <v>3</v>
      </c>
    </row>
    <row r="36" spans="1:5" x14ac:dyDescent="0.25">
      <c r="A36">
        <v>3</v>
      </c>
      <c r="B36">
        <v>1</v>
      </c>
      <c r="C36">
        <v>2</v>
      </c>
      <c r="D36" t="s">
        <v>20</v>
      </c>
      <c r="E36">
        <f>'Peso dos Apartamentos'!H4 * 'Peso das Vagas'!F3 * 'Histórico dos Sorteios'!E33</f>
        <v>4</v>
      </c>
    </row>
    <row r="37" spans="1:5" x14ac:dyDescent="0.25">
      <c r="A37">
        <v>3</v>
      </c>
      <c r="B37">
        <v>1</v>
      </c>
      <c r="C37">
        <v>3</v>
      </c>
      <c r="D37" t="s">
        <v>21</v>
      </c>
      <c r="E37">
        <f>'Peso dos Apartamentos'!H4 * 'Peso das Vagas'!F4 * 'Histórico dos Sorteios'!E34</f>
        <v>5</v>
      </c>
    </row>
    <row r="38" spans="1:5" x14ac:dyDescent="0.25">
      <c r="A38">
        <v>3</v>
      </c>
      <c r="B38">
        <v>1</v>
      </c>
      <c r="C38">
        <v>4</v>
      </c>
      <c r="D38" t="s">
        <v>22</v>
      </c>
      <c r="E38">
        <f>'Peso dos Apartamentos'!H4 * 'Peso das Vagas'!F5 * 'Histórico dos Sorteios'!E35</f>
        <v>4</v>
      </c>
    </row>
    <row r="39" spans="1:5" x14ac:dyDescent="0.25">
      <c r="A39">
        <v>3</v>
      </c>
      <c r="B39">
        <v>1</v>
      </c>
      <c r="C39">
        <v>5</v>
      </c>
      <c r="D39" t="s">
        <v>42</v>
      </c>
      <c r="E39">
        <f>'Peso dos Apartamentos'!H4 * 'Peso das Vagas'!F6 * 'Histórico dos Sorteios'!E36</f>
        <v>0</v>
      </c>
    </row>
    <row r="40" spans="1:5" x14ac:dyDescent="0.25">
      <c r="A40">
        <v>3</v>
      </c>
      <c r="B40">
        <v>2</v>
      </c>
      <c r="C40">
        <v>1</v>
      </c>
      <c r="D40" t="s">
        <v>72</v>
      </c>
      <c r="E40">
        <f>'Peso dos Apartamentos'!H9 * 'Peso das Vagas'!F7 * 'Histórico dos Sorteios'!E37</f>
        <v>3</v>
      </c>
    </row>
    <row r="41" spans="1:5" x14ac:dyDescent="0.25">
      <c r="A41">
        <v>3</v>
      </c>
      <c r="B41">
        <v>2</v>
      </c>
      <c r="C41">
        <v>2</v>
      </c>
      <c r="D41" t="s">
        <v>73</v>
      </c>
      <c r="E41">
        <f>'Peso dos Apartamentos'!H9 * 'Peso das Vagas'!F8 * 'Histórico dos Sorteios'!E38</f>
        <v>4</v>
      </c>
    </row>
    <row r="42" spans="1:5" x14ac:dyDescent="0.25">
      <c r="A42">
        <v>3</v>
      </c>
      <c r="B42">
        <v>2</v>
      </c>
      <c r="C42">
        <v>3</v>
      </c>
      <c r="D42" t="s">
        <v>74</v>
      </c>
      <c r="E42">
        <f>'Peso dos Apartamentos'!H9 * 'Peso das Vagas'!F9 * 'Histórico dos Sorteios'!E39</f>
        <v>5</v>
      </c>
    </row>
    <row r="43" spans="1:5" x14ac:dyDescent="0.25">
      <c r="A43">
        <v>3</v>
      </c>
      <c r="B43">
        <v>2</v>
      </c>
      <c r="C43">
        <v>4</v>
      </c>
      <c r="D43" t="s">
        <v>75</v>
      </c>
      <c r="E43">
        <f>'Peso dos Apartamentos'!H9 * 'Peso das Vagas'!F10 * 'Histórico dos Sorteios'!E40</f>
        <v>4</v>
      </c>
    </row>
    <row r="44" spans="1:5" x14ac:dyDescent="0.25">
      <c r="A44">
        <v>3</v>
      </c>
      <c r="B44">
        <v>2</v>
      </c>
      <c r="C44">
        <v>5</v>
      </c>
      <c r="D44" t="s">
        <v>76</v>
      </c>
      <c r="E44">
        <f>'Peso dos Apartamentos'!H9 * 'Peso das Vagas'!F11 * 'Histórico dos Sorteios'!E41</f>
        <v>0</v>
      </c>
    </row>
    <row r="45" spans="1:5" x14ac:dyDescent="0.25">
      <c r="A45">
        <v>3</v>
      </c>
      <c r="B45">
        <v>3</v>
      </c>
      <c r="C45">
        <v>1</v>
      </c>
      <c r="D45" t="s">
        <v>77</v>
      </c>
      <c r="E45">
        <f>'Peso dos Apartamentos'!H14 * 'Peso das Vagas'!F12 * 'Histórico dos Sorteios'!E42</f>
        <v>3</v>
      </c>
    </row>
    <row r="46" spans="1:5" x14ac:dyDescent="0.25">
      <c r="A46">
        <v>3</v>
      </c>
      <c r="B46">
        <v>3</v>
      </c>
      <c r="C46">
        <v>2</v>
      </c>
      <c r="D46" t="s">
        <v>78</v>
      </c>
      <c r="E46">
        <f>'Peso dos Apartamentos'!H14 * 'Peso das Vagas'!F13 * 'Histórico dos Sorteios'!E43</f>
        <v>4</v>
      </c>
    </row>
    <row r="47" spans="1:5" x14ac:dyDescent="0.25">
      <c r="A47">
        <v>3</v>
      </c>
      <c r="B47">
        <v>3</v>
      </c>
      <c r="C47">
        <v>3</v>
      </c>
      <c r="D47" t="s">
        <v>79</v>
      </c>
      <c r="E47">
        <f>'Peso dos Apartamentos'!H14 * 'Peso das Vagas'!F14 * 'Histórico dos Sorteios'!E44</f>
        <v>0</v>
      </c>
    </row>
    <row r="48" spans="1:5" x14ac:dyDescent="0.25">
      <c r="A48">
        <v>3</v>
      </c>
      <c r="B48">
        <v>3</v>
      </c>
      <c r="C48">
        <v>4</v>
      </c>
      <c r="D48" t="s">
        <v>80</v>
      </c>
      <c r="E48">
        <f>'Peso dos Apartamentos'!H14 * 'Peso das Vagas'!F15 * 'Histórico dos Sorteios'!E45</f>
        <v>4</v>
      </c>
    </row>
    <row r="49" spans="1:5" x14ac:dyDescent="0.25">
      <c r="A49">
        <v>3</v>
      </c>
      <c r="B49">
        <v>3</v>
      </c>
      <c r="C49">
        <v>5</v>
      </c>
      <c r="D49" t="s">
        <v>81</v>
      </c>
      <c r="E49">
        <f>'Peso dos Apartamentos'!H14 * 'Peso das Vagas'!F16 * 'Histórico dos Sorteios'!E46</f>
        <v>3</v>
      </c>
    </row>
    <row r="50" spans="1:5" x14ac:dyDescent="0.25">
      <c r="A50">
        <v>4</v>
      </c>
      <c r="B50">
        <v>1</v>
      </c>
      <c r="C50">
        <v>1</v>
      </c>
      <c r="D50" t="s">
        <v>23</v>
      </c>
      <c r="E50">
        <f>'Peso dos Apartamentos'!H5 * 'Peso das Vagas'!F2 * 'Histórico dos Sorteios'!E47</f>
        <v>3</v>
      </c>
    </row>
    <row r="51" spans="1:5" x14ac:dyDescent="0.25">
      <c r="A51">
        <v>4</v>
      </c>
      <c r="B51">
        <v>1</v>
      </c>
      <c r="C51">
        <v>2</v>
      </c>
      <c r="D51" t="s">
        <v>24</v>
      </c>
      <c r="E51">
        <f>'Peso dos Apartamentos'!H5 * 'Peso das Vagas'!F3 * 'Histórico dos Sorteios'!E48</f>
        <v>4</v>
      </c>
    </row>
    <row r="52" spans="1:5" x14ac:dyDescent="0.25">
      <c r="A52">
        <v>4</v>
      </c>
      <c r="B52">
        <v>1</v>
      </c>
      <c r="C52">
        <v>3</v>
      </c>
      <c r="D52" t="s">
        <v>25</v>
      </c>
      <c r="E52">
        <f>'Peso dos Apartamentos'!H5 * 'Peso das Vagas'!F4 * 'Histórico dos Sorteios'!E49</f>
        <v>5</v>
      </c>
    </row>
    <row r="53" spans="1:5" x14ac:dyDescent="0.25">
      <c r="A53">
        <v>4</v>
      </c>
      <c r="B53">
        <v>1</v>
      </c>
      <c r="C53">
        <v>4</v>
      </c>
      <c r="D53" t="s">
        <v>26</v>
      </c>
      <c r="E53">
        <f>'Peso dos Apartamentos'!H5 * 'Peso das Vagas'!F5 * 'Histórico dos Sorteios'!E50</f>
        <v>0</v>
      </c>
    </row>
    <row r="54" spans="1:5" x14ac:dyDescent="0.25">
      <c r="A54">
        <v>4</v>
      </c>
      <c r="B54">
        <v>1</v>
      </c>
      <c r="C54">
        <v>5</v>
      </c>
      <c r="D54" t="s">
        <v>43</v>
      </c>
      <c r="E54">
        <f>'Peso dos Apartamentos'!H5 * 'Peso das Vagas'!F6 * 'Histórico dos Sorteios'!E51</f>
        <v>3</v>
      </c>
    </row>
    <row r="55" spans="1:5" x14ac:dyDescent="0.25">
      <c r="A55">
        <v>4</v>
      </c>
      <c r="B55">
        <v>2</v>
      </c>
      <c r="C55">
        <v>1</v>
      </c>
      <c r="D55" t="s">
        <v>82</v>
      </c>
      <c r="E55">
        <f>'Peso dos Apartamentos'!H10 * 'Peso das Vagas'!F7 * 'Histórico dos Sorteios'!E52</f>
        <v>3</v>
      </c>
    </row>
    <row r="56" spans="1:5" x14ac:dyDescent="0.25">
      <c r="A56">
        <v>4</v>
      </c>
      <c r="B56">
        <v>2</v>
      </c>
      <c r="C56">
        <v>2</v>
      </c>
      <c r="D56" t="s">
        <v>83</v>
      </c>
      <c r="E56">
        <f>'Peso dos Apartamentos'!H10 * 'Peso das Vagas'!F8 * 'Histórico dos Sorteios'!E53</f>
        <v>0</v>
      </c>
    </row>
    <row r="57" spans="1:5" x14ac:dyDescent="0.25">
      <c r="A57">
        <v>4</v>
      </c>
      <c r="B57">
        <v>2</v>
      </c>
      <c r="C57">
        <v>3</v>
      </c>
      <c r="D57" t="s">
        <v>84</v>
      </c>
      <c r="E57">
        <f>'Peso dos Apartamentos'!H10 * 'Peso das Vagas'!F9 * 'Histórico dos Sorteios'!E54</f>
        <v>5</v>
      </c>
    </row>
    <row r="58" spans="1:5" x14ac:dyDescent="0.25">
      <c r="A58">
        <v>4</v>
      </c>
      <c r="B58">
        <v>2</v>
      </c>
      <c r="C58">
        <v>4</v>
      </c>
      <c r="D58" t="s">
        <v>85</v>
      </c>
      <c r="E58">
        <f>'Peso dos Apartamentos'!H10 * 'Peso das Vagas'!F10 * 'Histórico dos Sorteios'!E55</f>
        <v>4</v>
      </c>
    </row>
    <row r="59" spans="1:5" x14ac:dyDescent="0.25">
      <c r="A59">
        <v>4</v>
      </c>
      <c r="B59">
        <v>2</v>
      </c>
      <c r="C59">
        <v>5</v>
      </c>
      <c r="D59" t="s">
        <v>86</v>
      </c>
      <c r="E59">
        <f>'Peso dos Apartamentos'!H10 * 'Peso das Vagas'!F11 * 'Histórico dos Sorteios'!E56</f>
        <v>3</v>
      </c>
    </row>
    <row r="60" spans="1:5" x14ac:dyDescent="0.25">
      <c r="A60">
        <v>4</v>
      </c>
      <c r="B60">
        <v>3</v>
      </c>
      <c r="C60">
        <v>1</v>
      </c>
      <c r="D60" t="s">
        <v>87</v>
      </c>
      <c r="E60">
        <f>'Peso dos Apartamentos'!H15 * 'Peso das Vagas'!F12 * 'Histórico dos Sorteios'!E57</f>
        <v>3</v>
      </c>
    </row>
    <row r="61" spans="1:5" x14ac:dyDescent="0.25">
      <c r="A61">
        <v>4</v>
      </c>
      <c r="B61">
        <v>3</v>
      </c>
      <c r="C61">
        <v>2</v>
      </c>
      <c r="D61" t="s">
        <v>88</v>
      </c>
      <c r="E61">
        <f>'Peso dos Apartamentos'!H15 * 'Peso das Vagas'!F13 * 'Histórico dos Sorteios'!E58</f>
        <v>0</v>
      </c>
    </row>
    <row r="62" spans="1:5" x14ac:dyDescent="0.25">
      <c r="A62">
        <v>4</v>
      </c>
      <c r="B62">
        <v>3</v>
      </c>
      <c r="C62">
        <v>3</v>
      </c>
      <c r="D62" t="s">
        <v>89</v>
      </c>
      <c r="E62">
        <f>'Peso dos Apartamentos'!H15 * 'Peso das Vagas'!F14 * 'Histórico dos Sorteios'!E59</f>
        <v>5</v>
      </c>
    </row>
    <row r="63" spans="1:5" x14ac:dyDescent="0.25">
      <c r="A63">
        <v>4</v>
      </c>
      <c r="B63">
        <v>3</v>
      </c>
      <c r="C63">
        <v>4</v>
      </c>
      <c r="D63" t="s">
        <v>90</v>
      </c>
      <c r="E63">
        <f>'Peso dos Apartamentos'!H15 * 'Peso das Vagas'!F15 * 'Histórico dos Sorteios'!E60</f>
        <v>4</v>
      </c>
    </row>
    <row r="64" spans="1:5" x14ac:dyDescent="0.25">
      <c r="A64">
        <v>4</v>
      </c>
      <c r="B64">
        <v>3</v>
      </c>
      <c r="C64">
        <v>5</v>
      </c>
      <c r="D64" t="s">
        <v>91</v>
      </c>
      <c r="E64">
        <f>'Peso dos Apartamentos'!H15 * 'Peso das Vagas'!F16 * 'Histórico dos Sorteios'!E61</f>
        <v>3</v>
      </c>
    </row>
    <row r="65" spans="1:5" x14ac:dyDescent="0.25">
      <c r="A65">
        <v>5</v>
      </c>
      <c r="B65">
        <v>1</v>
      </c>
      <c r="C65">
        <v>1</v>
      </c>
      <c r="D65" t="s">
        <v>27</v>
      </c>
      <c r="E65">
        <f>'Peso dos Apartamentos'!H6 * 'Peso das Vagas'!F2 * 'Histórico dos Sorteios'!E62</f>
        <v>3</v>
      </c>
    </row>
    <row r="66" spans="1:5" x14ac:dyDescent="0.25">
      <c r="A66">
        <v>5</v>
      </c>
      <c r="B66">
        <v>1</v>
      </c>
      <c r="C66">
        <v>2</v>
      </c>
      <c r="D66" t="s">
        <v>28</v>
      </c>
      <c r="E66">
        <f>'Peso dos Apartamentos'!H6 * 'Peso das Vagas'!F3 * 'Histórico dos Sorteios'!E63</f>
        <v>4</v>
      </c>
    </row>
    <row r="67" spans="1:5" x14ac:dyDescent="0.25">
      <c r="A67">
        <v>5</v>
      </c>
      <c r="B67">
        <v>1</v>
      </c>
      <c r="C67">
        <v>3</v>
      </c>
      <c r="D67" t="s">
        <v>29</v>
      </c>
      <c r="E67">
        <f>'Peso dos Apartamentos'!H6 * 'Peso das Vagas'!F4 * 'Histórico dos Sorteios'!E64</f>
        <v>0</v>
      </c>
    </row>
    <row r="68" spans="1:5" x14ac:dyDescent="0.25">
      <c r="A68">
        <v>5</v>
      </c>
      <c r="B68">
        <v>1</v>
      </c>
      <c r="C68">
        <v>4</v>
      </c>
      <c r="D68" t="s">
        <v>30</v>
      </c>
      <c r="E68">
        <f>'Peso dos Apartamentos'!H6 * 'Peso das Vagas'!F5 * 'Histórico dos Sorteios'!E65</f>
        <v>4</v>
      </c>
    </row>
    <row r="69" spans="1:5" x14ac:dyDescent="0.25">
      <c r="A69">
        <v>5</v>
      </c>
      <c r="B69">
        <v>1</v>
      </c>
      <c r="C69">
        <v>5</v>
      </c>
      <c r="D69" t="s">
        <v>44</v>
      </c>
      <c r="E69">
        <f>'Peso dos Apartamentos'!H6 * 'Peso das Vagas'!F6 * 'Histórico dos Sorteios'!E66</f>
        <v>3</v>
      </c>
    </row>
    <row r="70" spans="1:5" x14ac:dyDescent="0.25">
      <c r="A70">
        <v>5</v>
      </c>
      <c r="B70">
        <v>2</v>
      </c>
      <c r="C70">
        <v>1</v>
      </c>
      <c r="D70" t="s">
        <v>92</v>
      </c>
      <c r="E70">
        <f>'Peso dos Apartamentos'!H11 * 'Peso das Vagas'!F7 * 'Histórico dos Sorteios'!E67</f>
        <v>0</v>
      </c>
    </row>
    <row r="71" spans="1:5" x14ac:dyDescent="0.25">
      <c r="A71">
        <v>5</v>
      </c>
      <c r="B71">
        <v>2</v>
      </c>
      <c r="C71">
        <v>2</v>
      </c>
      <c r="D71" t="s">
        <v>93</v>
      </c>
      <c r="E71">
        <f>'Peso dos Apartamentos'!H11 * 'Peso das Vagas'!F8 * 'Histórico dos Sorteios'!E68</f>
        <v>4</v>
      </c>
    </row>
    <row r="72" spans="1:5" x14ac:dyDescent="0.25">
      <c r="A72">
        <v>5</v>
      </c>
      <c r="B72">
        <v>2</v>
      </c>
      <c r="C72">
        <v>3</v>
      </c>
      <c r="D72" t="s">
        <v>94</v>
      </c>
      <c r="E72">
        <f>'Peso dos Apartamentos'!H11 * 'Peso das Vagas'!F9 * 'Histórico dos Sorteios'!E69</f>
        <v>5</v>
      </c>
    </row>
    <row r="73" spans="1:5" x14ac:dyDescent="0.25">
      <c r="A73">
        <v>5</v>
      </c>
      <c r="B73">
        <v>2</v>
      </c>
      <c r="C73">
        <v>4</v>
      </c>
      <c r="D73" t="s">
        <v>95</v>
      </c>
      <c r="E73">
        <f>'Peso dos Apartamentos'!H11 * 'Peso das Vagas'!F10 * 'Histórico dos Sorteios'!E70</f>
        <v>4</v>
      </c>
    </row>
    <row r="74" spans="1:5" x14ac:dyDescent="0.25">
      <c r="A74">
        <v>5</v>
      </c>
      <c r="B74">
        <v>2</v>
      </c>
      <c r="C74">
        <v>5</v>
      </c>
      <c r="D74" t="s">
        <v>96</v>
      </c>
      <c r="E74">
        <f>'Peso dos Apartamentos'!H11 * 'Peso das Vagas'!F11 * 'Histórico dos Sorteios'!E71</f>
        <v>3</v>
      </c>
    </row>
    <row r="75" spans="1:5" x14ac:dyDescent="0.25">
      <c r="A75">
        <v>5</v>
      </c>
      <c r="B75">
        <v>3</v>
      </c>
      <c r="C75">
        <v>1</v>
      </c>
      <c r="D75" t="s">
        <v>97</v>
      </c>
      <c r="E75">
        <f>'Peso dos Apartamentos'!H16 * 'Peso das Vagas'!F12 * 'Histórico dos Sorteios'!E72</f>
        <v>3</v>
      </c>
    </row>
    <row r="76" spans="1:5" x14ac:dyDescent="0.25">
      <c r="A76">
        <v>5</v>
      </c>
      <c r="B76">
        <v>3</v>
      </c>
      <c r="C76">
        <v>2</v>
      </c>
      <c r="D76" t="s">
        <v>98</v>
      </c>
      <c r="E76">
        <f>'Peso dos Apartamentos'!H16 * 'Peso das Vagas'!F13 * 'Histórico dos Sorteios'!E73</f>
        <v>4</v>
      </c>
    </row>
    <row r="77" spans="1:5" x14ac:dyDescent="0.25">
      <c r="A77">
        <v>5</v>
      </c>
      <c r="B77">
        <v>3</v>
      </c>
      <c r="C77">
        <v>3</v>
      </c>
      <c r="D77" t="s">
        <v>99</v>
      </c>
      <c r="E77">
        <f>'Peso dos Apartamentos'!H16 * 'Peso das Vagas'!F14 * 'Histórico dos Sorteios'!E74</f>
        <v>5</v>
      </c>
    </row>
    <row r="78" spans="1:5" x14ac:dyDescent="0.25">
      <c r="A78">
        <v>5</v>
      </c>
      <c r="B78">
        <v>3</v>
      </c>
      <c r="C78">
        <v>4</v>
      </c>
      <c r="D78" t="s">
        <v>100</v>
      </c>
      <c r="E78">
        <f>'Peso dos Apartamentos'!H16 * 'Peso das Vagas'!F15 * 'Histórico dos Sorteios'!E75</f>
        <v>4</v>
      </c>
    </row>
    <row r="79" spans="1:5" x14ac:dyDescent="0.25">
      <c r="A79">
        <v>5</v>
      </c>
      <c r="B79">
        <v>3</v>
      </c>
      <c r="C79">
        <v>5</v>
      </c>
      <c r="D79" t="s">
        <v>101</v>
      </c>
      <c r="E79">
        <f>'Peso dos Apartamentos'!H16 * 'Peso das Vagas'!F16 * 'Histórico dos Sorteios'!E76</f>
        <v>0</v>
      </c>
    </row>
    <row r="81" spans="1:5" x14ac:dyDescent="0.25">
      <c r="A81" t="s">
        <v>33</v>
      </c>
    </row>
    <row r="82" spans="1:5" x14ac:dyDescent="0.25">
      <c r="A82" t="s">
        <v>0</v>
      </c>
      <c r="B82" t="s">
        <v>1</v>
      </c>
      <c r="C82" t="s">
        <v>8</v>
      </c>
      <c r="D82" t="s">
        <v>9</v>
      </c>
      <c r="E82" t="s">
        <v>34</v>
      </c>
    </row>
    <row r="83" spans="1:5" x14ac:dyDescent="0.25">
      <c r="A83">
        <v>1</v>
      </c>
      <c r="B83">
        <v>1</v>
      </c>
      <c r="C83">
        <v>1</v>
      </c>
      <c r="D83" t="s">
        <v>11</v>
      </c>
      <c r="E83">
        <v>0</v>
      </c>
    </row>
    <row r="84" spans="1:5" x14ac:dyDescent="0.25">
      <c r="A84">
        <v>1</v>
      </c>
      <c r="B84">
        <v>1</v>
      </c>
      <c r="C84">
        <v>2</v>
      </c>
      <c r="D84" t="s">
        <v>12</v>
      </c>
      <c r="E84">
        <v>1</v>
      </c>
    </row>
    <row r="85" spans="1:5" x14ac:dyDescent="0.25">
      <c r="A85">
        <v>1</v>
      </c>
      <c r="B85">
        <v>1</v>
      </c>
      <c r="C85">
        <v>3</v>
      </c>
      <c r="D85" t="s">
        <v>13</v>
      </c>
      <c r="E85">
        <v>0</v>
      </c>
    </row>
    <row r="86" spans="1:5" x14ac:dyDescent="0.25">
      <c r="A86">
        <v>1</v>
      </c>
      <c r="B86">
        <v>1</v>
      </c>
      <c r="C86">
        <v>4</v>
      </c>
      <c r="D86" t="s">
        <v>14</v>
      </c>
      <c r="E86">
        <v>0</v>
      </c>
    </row>
    <row r="87" spans="1:5" x14ac:dyDescent="0.25">
      <c r="A87">
        <v>1</v>
      </c>
      <c r="B87">
        <v>1</v>
      </c>
      <c r="C87">
        <v>5</v>
      </c>
      <c r="D87" t="s">
        <v>40</v>
      </c>
      <c r="E87">
        <v>0</v>
      </c>
    </row>
    <row r="88" spans="1:5" x14ac:dyDescent="0.25">
      <c r="A88">
        <v>1</v>
      </c>
      <c r="B88">
        <v>2</v>
      </c>
      <c r="C88">
        <v>1</v>
      </c>
      <c r="D88" t="s">
        <v>52</v>
      </c>
      <c r="E88">
        <v>0</v>
      </c>
    </row>
    <row r="89" spans="1:5" x14ac:dyDescent="0.25">
      <c r="A89">
        <v>1</v>
      </c>
      <c r="B89">
        <v>2</v>
      </c>
      <c r="C89">
        <v>2</v>
      </c>
      <c r="D89" t="s">
        <v>53</v>
      </c>
      <c r="E89">
        <v>0</v>
      </c>
    </row>
    <row r="90" spans="1:5" x14ac:dyDescent="0.25">
      <c r="A90">
        <v>1</v>
      </c>
      <c r="B90">
        <v>2</v>
      </c>
      <c r="C90">
        <v>3</v>
      </c>
      <c r="D90" t="s">
        <v>54</v>
      </c>
      <c r="E90">
        <v>1</v>
      </c>
    </row>
    <row r="91" spans="1:5" x14ac:dyDescent="0.25">
      <c r="A91">
        <v>1</v>
      </c>
      <c r="B91">
        <v>2</v>
      </c>
      <c r="C91">
        <v>4</v>
      </c>
      <c r="D91" t="s">
        <v>55</v>
      </c>
      <c r="E91">
        <v>0</v>
      </c>
    </row>
    <row r="92" spans="1:5" x14ac:dyDescent="0.25">
      <c r="A92">
        <v>1</v>
      </c>
      <c r="B92">
        <v>2</v>
      </c>
      <c r="C92">
        <v>5</v>
      </c>
      <c r="D92" t="s">
        <v>56</v>
      </c>
      <c r="E92">
        <v>0</v>
      </c>
    </row>
    <row r="93" spans="1:5" x14ac:dyDescent="0.25">
      <c r="A93">
        <v>1</v>
      </c>
      <c r="B93">
        <v>3</v>
      </c>
      <c r="C93">
        <v>1</v>
      </c>
      <c r="D93" t="s">
        <v>57</v>
      </c>
      <c r="E93">
        <v>0</v>
      </c>
    </row>
    <row r="94" spans="1:5" x14ac:dyDescent="0.25">
      <c r="A94">
        <v>1</v>
      </c>
      <c r="B94">
        <v>3</v>
      </c>
      <c r="C94">
        <v>2</v>
      </c>
      <c r="D94" t="s">
        <v>58</v>
      </c>
      <c r="E94">
        <v>0</v>
      </c>
    </row>
    <row r="95" spans="1:5" x14ac:dyDescent="0.25">
      <c r="A95">
        <v>1</v>
      </c>
      <c r="B95">
        <v>3</v>
      </c>
      <c r="C95">
        <v>3</v>
      </c>
      <c r="D95" t="s">
        <v>59</v>
      </c>
      <c r="E95">
        <v>0</v>
      </c>
    </row>
    <row r="96" spans="1:5" x14ac:dyDescent="0.25">
      <c r="A96">
        <v>1</v>
      </c>
      <c r="B96">
        <v>3</v>
      </c>
      <c r="C96">
        <v>4</v>
      </c>
      <c r="D96" t="s">
        <v>60</v>
      </c>
      <c r="E96">
        <v>1</v>
      </c>
    </row>
    <row r="97" spans="1:5" x14ac:dyDescent="0.25">
      <c r="A97">
        <v>1</v>
      </c>
      <c r="B97">
        <v>3</v>
      </c>
      <c r="C97">
        <v>5</v>
      </c>
      <c r="D97" t="s">
        <v>61</v>
      </c>
      <c r="E97">
        <v>0</v>
      </c>
    </row>
    <row r="98" spans="1:5" x14ac:dyDescent="0.25">
      <c r="A98">
        <v>2</v>
      </c>
      <c r="B98">
        <v>1</v>
      </c>
      <c r="C98">
        <v>1</v>
      </c>
      <c r="D98" t="s">
        <v>15</v>
      </c>
      <c r="E98">
        <v>1</v>
      </c>
    </row>
    <row r="99" spans="1:5" x14ac:dyDescent="0.25">
      <c r="A99">
        <v>2</v>
      </c>
      <c r="B99">
        <v>1</v>
      </c>
      <c r="C99">
        <v>2</v>
      </c>
      <c r="D99" t="s">
        <v>16</v>
      </c>
      <c r="E99">
        <v>0</v>
      </c>
    </row>
    <row r="100" spans="1:5" x14ac:dyDescent="0.25">
      <c r="A100">
        <v>2</v>
      </c>
      <c r="B100">
        <v>1</v>
      </c>
      <c r="C100">
        <v>3</v>
      </c>
      <c r="D100" t="s">
        <v>17</v>
      </c>
      <c r="E100">
        <v>0</v>
      </c>
    </row>
    <row r="101" spans="1:5" x14ac:dyDescent="0.25">
      <c r="A101">
        <v>2</v>
      </c>
      <c r="B101">
        <v>1</v>
      </c>
      <c r="C101">
        <v>4</v>
      </c>
      <c r="D101" t="s">
        <v>18</v>
      </c>
      <c r="E101">
        <v>0</v>
      </c>
    </row>
    <row r="102" spans="1:5" x14ac:dyDescent="0.25">
      <c r="A102">
        <v>2</v>
      </c>
      <c r="B102">
        <v>1</v>
      </c>
      <c r="C102">
        <v>5</v>
      </c>
      <c r="D102" t="s">
        <v>41</v>
      </c>
      <c r="E102">
        <v>0</v>
      </c>
    </row>
    <row r="103" spans="1:5" x14ac:dyDescent="0.25">
      <c r="A103">
        <v>2</v>
      </c>
      <c r="B103">
        <v>2</v>
      </c>
      <c r="C103">
        <v>1</v>
      </c>
      <c r="D103" t="s">
        <v>62</v>
      </c>
      <c r="E103">
        <v>0</v>
      </c>
    </row>
    <row r="104" spans="1:5" x14ac:dyDescent="0.25">
      <c r="A104">
        <v>2</v>
      </c>
      <c r="B104">
        <v>2</v>
      </c>
      <c r="C104">
        <v>2</v>
      </c>
      <c r="D104" t="s">
        <v>63</v>
      </c>
      <c r="E104">
        <v>0</v>
      </c>
    </row>
    <row r="105" spans="1:5" x14ac:dyDescent="0.25">
      <c r="A105">
        <v>2</v>
      </c>
      <c r="B105">
        <v>2</v>
      </c>
      <c r="C105">
        <v>3</v>
      </c>
      <c r="D105" t="s">
        <v>64</v>
      </c>
      <c r="E105">
        <v>0</v>
      </c>
    </row>
    <row r="106" spans="1:5" x14ac:dyDescent="0.25">
      <c r="A106">
        <v>2</v>
      </c>
      <c r="B106">
        <v>2</v>
      </c>
      <c r="C106">
        <v>4</v>
      </c>
      <c r="D106" t="s">
        <v>65</v>
      </c>
      <c r="E106">
        <v>1</v>
      </c>
    </row>
    <row r="107" spans="1:5" x14ac:dyDescent="0.25">
      <c r="A107">
        <v>2</v>
      </c>
      <c r="B107">
        <v>2</v>
      </c>
      <c r="C107">
        <v>5</v>
      </c>
      <c r="D107" t="s">
        <v>66</v>
      </c>
      <c r="E107">
        <v>0</v>
      </c>
    </row>
    <row r="108" spans="1:5" x14ac:dyDescent="0.25">
      <c r="A108">
        <v>2</v>
      </c>
      <c r="B108">
        <v>3</v>
      </c>
      <c r="C108">
        <v>1</v>
      </c>
      <c r="D108" t="s">
        <v>67</v>
      </c>
      <c r="E108">
        <v>1</v>
      </c>
    </row>
    <row r="109" spans="1:5" x14ac:dyDescent="0.25">
      <c r="A109">
        <v>2</v>
      </c>
      <c r="B109">
        <v>3</v>
      </c>
      <c r="C109">
        <v>2</v>
      </c>
      <c r="D109" t="s">
        <v>68</v>
      </c>
      <c r="E109">
        <v>0</v>
      </c>
    </row>
    <row r="110" spans="1:5" x14ac:dyDescent="0.25">
      <c r="A110">
        <v>2</v>
      </c>
      <c r="B110">
        <v>3</v>
      </c>
      <c r="C110">
        <v>3</v>
      </c>
      <c r="D110" t="s">
        <v>69</v>
      </c>
      <c r="E110">
        <v>0</v>
      </c>
    </row>
    <row r="111" spans="1:5" x14ac:dyDescent="0.25">
      <c r="A111">
        <v>2</v>
      </c>
      <c r="B111">
        <v>3</v>
      </c>
      <c r="C111">
        <v>4</v>
      </c>
      <c r="D111" t="s">
        <v>70</v>
      </c>
      <c r="E111">
        <v>0</v>
      </c>
    </row>
    <row r="112" spans="1:5" x14ac:dyDescent="0.25">
      <c r="A112">
        <v>2</v>
      </c>
      <c r="B112">
        <v>3</v>
      </c>
      <c r="C112">
        <v>5</v>
      </c>
      <c r="D112" t="s">
        <v>71</v>
      </c>
      <c r="E112">
        <v>0</v>
      </c>
    </row>
    <row r="113" spans="1:5" x14ac:dyDescent="0.25">
      <c r="A113">
        <v>3</v>
      </c>
      <c r="B113">
        <v>1</v>
      </c>
      <c r="C113">
        <v>1</v>
      </c>
      <c r="D113" t="s">
        <v>19</v>
      </c>
      <c r="E113">
        <v>0</v>
      </c>
    </row>
    <row r="114" spans="1:5" x14ac:dyDescent="0.25">
      <c r="A114">
        <v>3</v>
      </c>
      <c r="B114">
        <v>1</v>
      </c>
      <c r="C114">
        <v>2</v>
      </c>
      <c r="D114" t="s">
        <v>20</v>
      </c>
      <c r="E114">
        <v>0</v>
      </c>
    </row>
    <row r="115" spans="1:5" x14ac:dyDescent="0.25">
      <c r="A115">
        <v>3</v>
      </c>
      <c r="B115">
        <v>1</v>
      </c>
      <c r="C115">
        <v>3</v>
      </c>
      <c r="D115" t="s">
        <v>21</v>
      </c>
      <c r="E115">
        <v>0</v>
      </c>
    </row>
    <row r="116" spans="1:5" x14ac:dyDescent="0.25">
      <c r="A116">
        <v>3</v>
      </c>
      <c r="B116">
        <v>1</v>
      </c>
      <c r="C116">
        <v>4</v>
      </c>
      <c r="D116" t="s">
        <v>22</v>
      </c>
      <c r="E116">
        <v>0</v>
      </c>
    </row>
    <row r="117" spans="1:5" x14ac:dyDescent="0.25">
      <c r="A117">
        <v>3</v>
      </c>
      <c r="B117">
        <v>1</v>
      </c>
      <c r="C117">
        <v>5</v>
      </c>
      <c r="D117" t="s">
        <v>42</v>
      </c>
      <c r="E117">
        <v>1</v>
      </c>
    </row>
    <row r="118" spans="1:5" x14ac:dyDescent="0.25">
      <c r="A118">
        <v>3</v>
      </c>
      <c r="B118">
        <v>2</v>
      </c>
      <c r="C118">
        <v>1</v>
      </c>
      <c r="D118" t="s">
        <v>72</v>
      </c>
      <c r="E118">
        <v>0</v>
      </c>
    </row>
    <row r="119" spans="1:5" x14ac:dyDescent="0.25">
      <c r="A119">
        <v>3</v>
      </c>
      <c r="B119">
        <v>2</v>
      </c>
      <c r="C119">
        <v>2</v>
      </c>
      <c r="D119" t="s">
        <v>73</v>
      </c>
      <c r="E119">
        <v>0</v>
      </c>
    </row>
    <row r="120" spans="1:5" x14ac:dyDescent="0.25">
      <c r="A120">
        <v>3</v>
      </c>
      <c r="B120">
        <v>2</v>
      </c>
      <c r="C120">
        <v>3</v>
      </c>
      <c r="D120" t="s">
        <v>74</v>
      </c>
      <c r="E120">
        <v>0</v>
      </c>
    </row>
    <row r="121" spans="1:5" x14ac:dyDescent="0.25">
      <c r="A121">
        <v>3</v>
      </c>
      <c r="B121">
        <v>2</v>
      </c>
      <c r="C121">
        <v>4</v>
      </c>
      <c r="D121" t="s">
        <v>75</v>
      </c>
      <c r="E121">
        <v>0</v>
      </c>
    </row>
    <row r="122" spans="1:5" x14ac:dyDescent="0.25">
      <c r="A122">
        <v>3</v>
      </c>
      <c r="B122">
        <v>2</v>
      </c>
      <c r="C122">
        <v>5</v>
      </c>
      <c r="D122" t="s">
        <v>76</v>
      </c>
      <c r="E122">
        <v>1</v>
      </c>
    </row>
    <row r="123" spans="1:5" x14ac:dyDescent="0.25">
      <c r="A123">
        <v>3</v>
      </c>
      <c r="B123">
        <v>3</v>
      </c>
      <c r="C123">
        <v>1</v>
      </c>
      <c r="D123" t="s">
        <v>77</v>
      </c>
      <c r="E123">
        <v>0</v>
      </c>
    </row>
    <row r="124" spans="1:5" x14ac:dyDescent="0.25">
      <c r="A124">
        <v>3</v>
      </c>
      <c r="B124">
        <v>3</v>
      </c>
      <c r="C124">
        <v>2</v>
      </c>
      <c r="D124" t="s">
        <v>78</v>
      </c>
      <c r="E124">
        <v>0</v>
      </c>
    </row>
    <row r="125" spans="1:5" x14ac:dyDescent="0.25">
      <c r="A125">
        <v>3</v>
      </c>
      <c r="B125">
        <v>3</v>
      </c>
      <c r="C125">
        <v>3</v>
      </c>
      <c r="D125" t="s">
        <v>79</v>
      </c>
      <c r="E125">
        <v>1</v>
      </c>
    </row>
    <row r="126" spans="1:5" x14ac:dyDescent="0.25">
      <c r="A126">
        <v>3</v>
      </c>
      <c r="B126">
        <v>3</v>
      </c>
      <c r="C126">
        <v>4</v>
      </c>
      <c r="D126" t="s">
        <v>80</v>
      </c>
      <c r="E126">
        <v>0</v>
      </c>
    </row>
    <row r="127" spans="1:5" x14ac:dyDescent="0.25">
      <c r="A127">
        <v>3</v>
      </c>
      <c r="B127">
        <v>3</v>
      </c>
      <c r="C127">
        <v>5</v>
      </c>
      <c r="D127" t="s">
        <v>81</v>
      </c>
      <c r="E127">
        <v>0</v>
      </c>
    </row>
    <row r="128" spans="1:5" x14ac:dyDescent="0.25">
      <c r="A128">
        <v>4</v>
      </c>
      <c r="B128">
        <v>1</v>
      </c>
      <c r="C128">
        <v>1</v>
      </c>
      <c r="D128" t="s">
        <v>23</v>
      </c>
      <c r="E128">
        <v>0</v>
      </c>
    </row>
    <row r="129" spans="1:5" x14ac:dyDescent="0.25">
      <c r="A129">
        <v>4</v>
      </c>
      <c r="B129">
        <v>1</v>
      </c>
      <c r="C129">
        <v>2</v>
      </c>
      <c r="D129" t="s">
        <v>24</v>
      </c>
      <c r="E129">
        <v>0</v>
      </c>
    </row>
    <row r="130" spans="1:5" x14ac:dyDescent="0.25">
      <c r="A130">
        <v>4</v>
      </c>
      <c r="B130">
        <v>1</v>
      </c>
      <c r="C130">
        <v>3</v>
      </c>
      <c r="D130" t="s">
        <v>25</v>
      </c>
      <c r="E130">
        <v>0</v>
      </c>
    </row>
    <row r="131" spans="1:5" x14ac:dyDescent="0.25">
      <c r="A131">
        <v>4</v>
      </c>
      <c r="B131">
        <v>1</v>
      </c>
      <c r="C131">
        <v>4</v>
      </c>
      <c r="D131" t="s">
        <v>26</v>
      </c>
      <c r="E131">
        <v>1</v>
      </c>
    </row>
    <row r="132" spans="1:5" x14ac:dyDescent="0.25">
      <c r="A132">
        <v>4</v>
      </c>
      <c r="B132">
        <v>1</v>
      </c>
      <c r="C132">
        <v>5</v>
      </c>
      <c r="D132" t="s">
        <v>43</v>
      </c>
      <c r="E132">
        <v>0</v>
      </c>
    </row>
    <row r="133" spans="1:5" x14ac:dyDescent="0.25">
      <c r="A133">
        <v>4</v>
      </c>
      <c r="B133">
        <v>2</v>
      </c>
      <c r="C133">
        <v>1</v>
      </c>
      <c r="D133" t="s">
        <v>82</v>
      </c>
      <c r="E133">
        <v>0</v>
      </c>
    </row>
    <row r="134" spans="1:5" x14ac:dyDescent="0.25">
      <c r="A134">
        <v>4</v>
      </c>
      <c r="B134">
        <v>2</v>
      </c>
      <c r="C134">
        <v>2</v>
      </c>
      <c r="D134" t="s">
        <v>83</v>
      </c>
      <c r="E134">
        <v>1</v>
      </c>
    </row>
    <row r="135" spans="1:5" x14ac:dyDescent="0.25">
      <c r="A135">
        <v>4</v>
      </c>
      <c r="B135">
        <v>2</v>
      </c>
      <c r="C135">
        <v>3</v>
      </c>
      <c r="D135" t="s">
        <v>84</v>
      </c>
      <c r="E135">
        <v>0</v>
      </c>
    </row>
    <row r="136" spans="1:5" x14ac:dyDescent="0.25">
      <c r="A136">
        <v>4</v>
      </c>
      <c r="B136">
        <v>2</v>
      </c>
      <c r="C136">
        <v>4</v>
      </c>
      <c r="D136" t="s">
        <v>85</v>
      </c>
      <c r="E136">
        <v>0</v>
      </c>
    </row>
    <row r="137" spans="1:5" x14ac:dyDescent="0.25">
      <c r="A137">
        <v>4</v>
      </c>
      <c r="B137">
        <v>2</v>
      </c>
      <c r="C137">
        <v>5</v>
      </c>
      <c r="D137" t="s">
        <v>86</v>
      </c>
      <c r="E137">
        <v>0</v>
      </c>
    </row>
    <row r="138" spans="1:5" x14ac:dyDescent="0.25">
      <c r="A138">
        <v>4</v>
      </c>
      <c r="B138">
        <v>3</v>
      </c>
      <c r="C138">
        <v>1</v>
      </c>
      <c r="D138" t="s">
        <v>87</v>
      </c>
      <c r="E138">
        <v>0</v>
      </c>
    </row>
    <row r="139" spans="1:5" x14ac:dyDescent="0.25">
      <c r="A139">
        <v>4</v>
      </c>
      <c r="B139">
        <v>3</v>
      </c>
      <c r="C139">
        <v>2</v>
      </c>
      <c r="D139" t="s">
        <v>88</v>
      </c>
      <c r="E139">
        <v>1</v>
      </c>
    </row>
    <row r="140" spans="1:5" x14ac:dyDescent="0.25">
      <c r="A140">
        <v>4</v>
      </c>
      <c r="B140">
        <v>3</v>
      </c>
      <c r="C140">
        <v>3</v>
      </c>
      <c r="D140" t="s">
        <v>89</v>
      </c>
      <c r="E140">
        <v>0</v>
      </c>
    </row>
    <row r="141" spans="1:5" x14ac:dyDescent="0.25">
      <c r="A141">
        <v>4</v>
      </c>
      <c r="B141">
        <v>3</v>
      </c>
      <c r="C141">
        <v>4</v>
      </c>
      <c r="D141" t="s">
        <v>90</v>
      </c>
      <c r="E141">
        <v>0</v>
      </c>
    </row>
    <row r="142" spans="1:5" x14ac:dyDescent="0.25">
      <c r="A142">
        <v>4</v>
      </c>
      <c r="B142">
        <v>3</v>
      </c>
      <c r="C142">
        <v>5</v>
      </c>
      <c r="D142" t="s">
        <v>91</v>
      </c>
      <c r="E142">
        <v>0</v>
      </c>
    </row>
    <row r="143" spans="1:5" x14ac:dyDescent="0.25">
      <c r="A143">
        <v>5</v>
      </c>
      <c r="B143">
        <v>1</v>
      </c>
      <c r="C143">
        <v>1</v>
      </c>
      <c r="D143" t="s">
        <v>27</v>
      </c>
      <c r="E143">
        <v>0</v>
      </c>
    </row>
    <row r="144" spans="1:5" x14ac:dyDescent="0.25">
      <c r="A144">
        <v>5</v>
      </c>
      <c r="B144">
        <v>1</v>
      </c>
      <c r="C144">
        <v>2</v>
      </c>
      <c r="D144" t="s">
        <v>28</v>
      </c>
      <c r="E144">
        <v>0</v>
      </c>
    </row>
    <row r="145" spans="1:8" x14ac:dyDescent="0.25">
      <c r="A145">
        <v>5</v>
      </c>
      <c r="B145">
        <v>1</v>
      </c>
      <c r="C145">
        <v>3</v>
      </c>
      <c r="D145" t="s">
        <v>29</v>
      </c>
      <c r="E145">
        <v>1</v>
      </c>
    </row>
    <row r="146" spans="1:8" x14ac:dyDescent="0.25">
      <c r="A146">
        <v>5</v>
      </c>
      <c r="B146">
        <v>1</v>
      </c>
      <c r="C146">
        <v>4</v>
      </c>
      <c r="D146" t="s">
        <v>30</v>
      </c>
      <c r="E146">
        <v>0</v>
      </c>
    </row>
    <row r="147" spans="1:8" x14ac:dyDescent="0.25">
      <c r="A147">
        <v>5</v>
      </c>
      <c r="B147">
        <v>1</v>
      </c>
      <c r="C147">
        <v>5</v>
      </c>
      <c r="D147" t="s">
        <v>44</v>
      </c>
      <c r="E147">
        <v>0</v>
      </c>
    </row>
    <row r="148" spans="1:8" x14ac:dyDescent="0.25">
      <c r="A148">
        <v>5</v>
      </c>
      <c r="B148">
        <v>2</v>
      </c>
      <c r="C148">
        <v>1</v>
      </c>
      <c r="D148" t="s">
        <v>92</v>
      </c>
      <c r="E148">
        <v>1</v>
      </c>
    </row>
    <row r="149" spans="1:8" x14ac:dyDescent="0.25">
      <c r="A149">
        <v>5</v>
      </c>
      <c r="B149">
        <v>2</v>
      </c>
      <c r="C149">
        <v>2</v>
      </c>
      <c r="D149" t="s">
        <v>93</v>
      </c>
      <c r="E149">
        <v>0</v>
      </c>
    </row>
    <row r="150" spans="1:8" x14ac:dyDescent="0.25">
      <c r="A150">
        <v>5</v>
      </c>
      <c r="B150">
        <v>2</v>
      </c>
      <c r="C150">
        <v>3</v>
      </c>
      <c r="D150" t="s">
        <v>94</v>
      </c>
      <c r="E150">
        <v>0</v>
      </c>
    </row>
    <row r="151" spans="1:8" x14ac:dyDescent="0.25">
      <c r="A151">
        <v>5</v>
      </c>
      <c r="B151">
        <v>2</v>
      </c>
      <c r="C151">
        <v>4</v>
      </c>
      <c r="D151" t="s">
        <v>95</v>
      </c>
      <c r="E151">
        <v>0</v>
      </c>
    </row>
    <row r="152" spans="1:8" x14ac:dyDescent="0.25">
      <c r="A152">
        <v>5</v>
      </c>
      <c r="B152">
        <v>2</v>
      </c>
      <c r="C152">
        <v>5</v>
      </c>
      <c r="D152" t="s">
        <v>96</v>
      </c>
      <c r="E152">
        <v>0</v>
      </c>
    </row>
    <row r="153" spans="1:8" x14ac:dyDescent="0.25">
      <c r="A153">
        <v>5</v>
      </c>
      <c r="B153">
        <v>3</v>
      </c>
      <c r="C153">
        <v>1</v>
      </c>
      <c r="D153" t="s">
        <v>97</v>
      </c>
      <c r="E153">
        <v>0</v>
      </c>
    </row>
    <row r="154" spans="1:8" x14ac:dyDescent="0.25">
      <c r="A154">
        <v>5</v>
      </c>
      <c r="B154">
        <v>3</v>
      </c>
      <c r="C154">
        <v>2</v>
      </c>
      <c r="D154" t="s">
        <v>98</v>
      </c>
      <c r="E154">
        <v>0</v>
      </c>
    </row>
    <row r="155" spans="1:8" x14ac:dyDescent="0.25">
      <c r="A155">
        <v>5</v>
      </c>
      <c r="B155">
        <v>3</v>
      </c>
      <c r="C155">
        <v>3</v>
      </c>
      <c r="D155" t="s">
        <v>99</v>
      </c>
      <c r="E155">
        <v>0</v>
      </c>
    </row>
    <row r="156" spans="1:8" x14ac:dyDescent="0.25">
      <c r="A156">
        <v>5</v>
      </c>
      <c r="B156">
        <v>3</v>
      </c>
      <c r="C156">
        <v>4</v>
      </c>
      <c r="D156" t="s">
        <v>100</v>
      </c>
      <c r="E156">
        <v>0</v>
      </c>
    </row>
    <row r="157" spans="1:8" x14ac:dyDescent="0.25">
      <c r="A157">
        <v>5</v>
      </c>
      <c r="B157">
        <v>3</v>
      </c>
      <c r="C157">
        <v>5</v>
      </c>
      <c r="D157" t="s">
        <v>101</v>
      </c>
      <c r="E157">
        <v>1</v>
      </c>
    </row>
    <row r="159" spans="1:8" x14ac:dyDescent="0.25">
      <c r="A159" t="s">
        <v>35</v>
      </c>
    </row>
    <row r="160" spans="1:8" x14ac:dyDescent="0.25">
      <c r="A160" t="s">
        <v>9</v>
      </c>
      <c r="B160" t="s">
        <v>9</v>
      </c>
      <c r="C160" t="s">
        <v>9</v>
      </c>
      <c r="D160" t="s">
        <v>9</v>
      </c>
      <c r="E160" t="s">
        <v>9</v>
      </c>
      <c r="F160" t="s">
        <v>36</v>
      </c>
      <c r="G160" t="s">
        <v>37</v>
      </c>
      <c r="H160" t="s">
        <v>34</v>
      </c>
    </row>
    <row r="161" spans="1:8" x14ac:dyDescent="0.25">
      <c r="A161">
        <f>VLOOKUP("S(1,1,1)",Sorteio!$D$83:$E$157,2,0)</f>
        <v>0</v>
      </c>
      <c r="B161">
        <f>VLOOKUP("S(2,1,1)",Sorteio!$D$83:$E$157,2,0)</f>
        <v>1</v>
      </c>
      <c r="C161">
        <f>VLOOKUP("S(3,1,1)",Sorteio!$D$83:$E$157,2,0)</f>
        <v>0</v>
      </c>
      <c r="D161">
        <f>VLOOKUP("S(4,1,1)",Sorteio!$D$83:$E$157,2,0)</f>
        <v>0</v>
      </c>
      <c r="E161">
        <f>VLOOKUP("S(5,1,1)",Sorteio!$D$83:$E$157,2,0)</f>
        <v>0</v>
      </c>
      <c r="F161">
        <f>SUM(Sorteio!$A$161:$E$161)</f>
        <v>1</v>
      </c>
      <c r="G161" t="s">
        <v>38</v>
      </c>
      <c r="H161">
        <v>1</v>
      </c>
    </row>
    <row r="162" spans="1:8" x14ac:dyDescent="0.25">
      <c r="A162">
        <f>VLOOKUP("S(1,2,1)",Sorteio!$D$83:$E$157,2,0)</f>
        <v>0</v>
      </c>
      <c r="B162">
        <f>VLOOKUP("S(2,2,1)",Sorteio!$D$83:$E$157,2,0)</f>
        <v>0</v>
      </c>
      <c r="C162">
        <f>VLOOKUP("S(3,2,1)",Sorteio!$D$83:$E$157,2,0)</f>
        <v>0</v>
      </c>
      <c r="D162">
        <f>VLOOKUP("S(4,2,1)",Sorteio!$D$83:$E$157,2,0)</f>
        <v>0</v>
      </c>
      <c r="E162">
        <f>VLOOKUP("S(5,2,1)",Sorteio!$D$83:$E$157,2,0)</f>
        <v>1</v>
      </c>
      <c r="F162">
        <f>SUM(Sorteio!$A$162:$E$162)</f>
        <v>1</v>
      </c>
      <c r="G162" t="s">
        <v>38</v>
      </c>
      <c r="H162">
        <v>1</v>
      </c>
    </row>
    <row r="163" spans="1:8" x14ac:dyDescent="0.25">
      <c r="A163">
        <f>VLOOKUP("S(1,3,1)",Sorteio!$D$83:$E$157,2,0)</f>
        <v>0</v>
      </c>
      <c r="B163">
        <f>VLOOKUP("S(2,3,1)",Sorteio!$D$83:$E$157,2,0)</f>
        <v>1</v>
      </c>
      <c r="C163">
        <f>VLOOKUP("S(3,3,1)",Sorteio!$D$83:$E$157,2,0)</f>
        <v>0</v>
      </c>
      <c r="D163">
        <f>VLOOKUP("S(4,3,1)",Sorteio!$D$83:$E$157,2,0)</f>
        <v>0</v>
      </c>
      <c r="E163">
        <f>VLOOKUP("S(5,3,1)",Sorteio!$D$83:$E$157,2,0)</f>
        <v>0</v>
      </c>
      <c r="F163">
        <f>SUM(Sorteio!$A$163:$E$163)</f>
        <v>1</v>
      </c>
      <c r="G163" t="s">
        <v>38</v>
      </c>
      <c r="H163">
        <v>1</v>
      </c>
    </row>
    <row r="164" spans="1:8" x14ac:dyDescent="0.25">
      <c r="A164">
        <f>VLOOKUP("S(1,1,2)",Sorteio!$D$83:$E$157,2,0)</f>
        <v>1</v>
      </c>
      <c r="B164">
        <f>VLOOKUP("S(2,1,2)",Sorteio!$D$83:$E$157,2,0)</f>
        <v>0</v>
      </c>
      <c r="C164">
        <f>VLOOKUP("S(3,1,2)",Sorteio!$D$83:$E$157,2,0)</f>
        <v>0</v>
      </c>
      <c r="D164">
        <f>VLOOKUP("S(4,1,2)",Sorteio!$D$83:$E$157,2,0)</f>
        <v>0</v>
      </c>
      <c r="E164">
        <f>VLOOKUP("S(5,1,2)",Sorteio!$D$83:$E$157,2,0)</f>
        <v>0</v>
      </c>
      <c r="F164">
        <f>SUM(Sorteio!$A$164:$E$164)</f>
        <v>1</v>
      </c>
      <c r="G164" t="s">
        <v>38</v>
      </c>
      <c r="H164">
        <v>1</v>
      </c>
    </row>
    <row r="165" spans="1:8" x14ac:dyDescent="0.25">
      <c r="A165">
        <f>VLOOKUP("S(1,2,2)",Sorteio!$D$83:$E$157,2,0)</f>
        <v>0</v>
      </c>
      <c r="B165">
        <f>VLOOKUP("S(2,2,2)",Sorteio!$D$83:$E$157,2,0)</f>
        <v>0</v>
      </c>
      <c r="C165">
        <f>VLOOKUP("S(3,2,2)",Sorteio!$D$83:$E$157,2,0)</f>
        <v>0</v>
      </c>
      <c r="D165">
        <f>VLOOKUP("S(4,2,2)",Sorteio!$D$83:$E$157,2,0)</f>
        <v>1</v>
      </c>
      <c r="E165">
        <f>VLOOKUP("S(5,2,2)",Sorteio!$D$83:$E$157,2,0)</f>
        <v>0</v>
      </c>
      <c r="F165">
        <f>SUM(Sorteio!$A$165:$E$165)</f>
        <v>1</v>
      </c>
      <c r="G165" t="s">
        <v>38</v>
      </c>
      <c r="H165">
        <v>1</v>
      </c>
    </row>
    <row r="166" spans="1:8" x14ac:dyDescent="0.25">
      <c r="A166">
        <f>VLOOKUP("S(1,3,2)",Sorteio!$D$83:$E$157,2,0)</f>
        <v>0</v>
      </c>
      <c r="B166">
        <f>VLOOKUP("S(2,3,2)",Sorteio!$D$83:$E$157,2,0)</f>
        <v>0</v>
      </c>
      <c r="C166">
        <f>VLOOKUP("S(3,3,2)",Sorteio!$D$83:$E$157,2,0)</f>
        <v>0</v>
      </c>
      <c r="D166">
        <f>VLOOKUP("S(4,3,2)",Sorteio!$D$83:$E$157,2,0)</f>
        <v>1</v>
      </c>
      <c r="E166">
        <f>VLOOKUP("S(5,3,2)",Sorteio!$D$83:$E$157,2,0)</f>
        <v>0</v>
      </c>
      <c r="F166">
        <f>SUM(Sorteio!$A$166:$E$166)</f>
        <v>1</v>
      </c>
      <c r="G166" t="s">
        <v>38</v>
      </c>
      <c r="H166">
        <v>1</v>
      </c>
    </row>
    <row r="167" spans="1:8" x14ac:dyDescent="0.25">
      <c r="A167">
        <f>VLOOKUP("S(1,1,3)",Sorteio!$D$83:$E$157,2,0)</f>
        <v>0</v>
      </c>
      <c r="B167">
        <f>VLOOKUP("S(2,1,3)",Sorteio!$D$83:$E$157,2,0)</f>
        <v>0</v>
      </c>
      <c r="C167">
        <f>VLOOKUP("S(3,1,3)",Sorteio!$D$83:$E$157,2,0)</f>
        <v>0</v>
      </c>
      <c r="D167">
        <f>VLOOKUP("S(4,1,3)",Sorteio!$D$83:$E$157,2,0)</f>
        <v>0</v>
      </c>
      <c r="E167">
        <f>VLOOKUP("S(5,1,3)",Sorteio!$D$83:$E$157,2,0)</f>
        <v>1</v>
      </c>
      <c r="F167">
        <f>SUM(Sorteio!$A$167:$E$167)</f>
        <v>1</v>
      </c>
      <c r="G167" t="s">
        <v>38</v>
      </c>
      <c r="H167">
        <v>1</v>
      </c>
    </row>
    <row r="168" spans="1:8" x14ac:dyDescent="0.25">
      <c r="A168">
        <f>VLOOKUP("S(1,2,3)",Sorteio!$D$83:$E$157,2,0)</f>
        <v>1</v>
      </c>
      <c r="B168">
        <f>VLOOKUP("S(2,2,3)",Sorteio!$D$83:$E$157,2,0)</f>
        <v>0</v>
      </c>
      <c r="C168">
        <f>VLOOKUP("S(3,2,3)",Sorteio!$D$83:$E$157,2,0)</f>
        <v>0</v>
      </c>
      <c r="D168">
        <f>VLOOKUP("S(4,2,3)",Sorteio!$D$83:$E$157,2,0)</f>
        <v>0</v>
      </c>
      <c r="E168">
        <f>VLOOKUP("S(5,2,3)",Sorteio!$D$83:$E$157,2,0)</f>
        <v>0</v>
      </c>
      <c r="F168">
        <f>SUM(Sorteio!$A$168:$E$168)</f>
        <v>1</v>
      </c>
      <c r="G168" t="s">
        <v>38</v>
      </c>
      <c r="H168">
        <v>1</v>
      </c>
    </row>
    <row r="169" spans="1:8" x14ac:dyDescent="0.25">
      <c r="A169">
        <f>VLOOKUP("S(1,3,3)",Sorteio!$D$83:$E$157,2,0)</f>
        <v>0</v>
      </c>
      <c r="B169">
        <f>VLOOKUP("S(2,3,3)",Sorteio!$D$83:$E$157,2,0)</f>
        <v>0</v>
      </c>
      <c r="C169">
        <f>VLOOKUP("S(3,3,3)",Sorteio!$D$83:$E$157,2,0)</f>
        <v>1</v>
      </c>
      <c r="D169">
        <f>VLOOKUP("S(4,3,3)",Sorteio!$D$83:$E$157,2,0)</f>
        <v>0</v>
      </c>
      <c r="E169">
        <f>VLOOKUP("S(5,3,3)",Sorteio!$D$83:$E$157,2,0)</f>
        <v>0</v>
      </c>
      <c r="F169">
        <f>SUM(Sorteio!$A$169:$E$169)</f>
        <v>1</v>
      </c>
      <c r="G169" t="s">
        <v>38</v>
      </c>
      <c r="H169">
        <v>1</v>
      </c>
    </row>
    <row r="170" spans="1:8" x14ac:dyDescent="0.25">
      <c r="A170">
        <f>VLOOKUP("S(1,1,4)",Sorteio!$D$83:$E$157,2,0)</f>
        <v>0</v>
      </c>
      <c r="B170">
        <f>VLOOKUP("S(2,1,4)",Sorteio!$D$83:$E$157,2,0)</f>
        <v>0</v>
      </c>
      <c r="C170">
        <f>VLOOKUP("S(3,1,4)",Sorteio!$D$83:$E$157,2,0)</f>
        <v>0</v>
      </c>
      <c r="D170">
        <f>VLOOKUP("S(4,1,4)",Sorteio!$D$83:$E$157,2,0)</f>
        <v>1</v>
      </c>
      <c r="E170">
        <f>VLOOKUP("S(5,1,4)",Sorteio!$D$83:$E$157,2,0)</f>
        <v>0</v>
      </c>
      <c r="F170">
        <f>SUM(Sorteio!$A$170:$E$170)</f>
        <v>1</v>
      </c>
      <c r="G170" t="s">
        <v>38</v>
      </c>
      <c r="H170">
        <v>1</v>
      </c>
    </row>
    <row r="171" spans="1:8" x14ac:dyDescent="0.25">
      <c r="A171">
        <f>VLOOKUP("S(1,2,4)",Sorteio!$D$83:$E$157,2,0)</f>
        <v>0</v>
      </c>
      <c r="B171">
        <f>VLOOKUP("S(2,2,4)",Sorteio!$D$83:$E$157,2,0)</f>
        <v>1</v>
      </c>
      <c r="C171">
        <f>VLOOKUP("S(3,2,4)",Sorteio!$D$83:$E$157,2,0)</f>
        <v>0</v>
      </c>
      <c r="D171">
        <f>VLOOKUP("S(4,2,4)",Sorteio!$D$83:$E$157,2,0)</f>
        <v>0</v>
      </c>
      <c r="E171">
        <f>VLOOKUP("S(5,2,4)",Sorteio!$D$83:$E$157,2,0)</f>
        <v>0</v>
      </c>
      <c r="F171">
        <f>SUM(Sorteio!$A$171:$E$171)</f>
        <v>1</v>
      </c>
      <c r="G171" t="s">
        <v>38</v>
      </c>
      <c r="H171">
        <v>1</v>
      </c>
    </row>
    <row r="172" spans="1:8" x14ac:dyDescent="0.25">
      <c r="A172">
        <f>VLOOKUP("S(1,3,4)",Sorteio!$D$83:$E$157,2,0)</f>
        <v>1</v>
      </c>
      <c r="B172">
        <f>VLOOKUP("S(2,3,4)",Sorteio!$D$83:$E$157,2,0)</f>
        <v>0</v>
      </c>
      <c r="C172">
        <f>VLOOKUP("S(3,3,4)",Sorteio!$D$83:$E$157,2,0)</f>
        <v>0</v>
      </c>
      <c r="D172">
        <f>VLOOKUP("S(4,3,4)",Sorteio!$D$83:$E$157,2,0)</f>
        <v>0</v>
      </c>
      <c r="E172">
        <f>VLOOKUP("S(5,3,4)",Sorteio!$D$83:$E$157,2,0)</f>
        <v>0</v>
      </c>
      <c r="F172">
        <f>SUM(Sorteio!$A$172:$E$172)</f>
        <v>1</v>
      </c>
      <c r="G172" t="s">
        <v>38</v>
      </c>
      <c r="H172">
        <v>1</v>
      </c>
    </row>
    <row r="173" spans="1:8" x14ac:dyDescent="0.25">
      <c r="A173">
        <f>VLOOKUP("S(1,1,5)",Sorteio!$D$83:$E$157,2,0)</f>
        <v>0</v>
      </c>
      <c r="B173">
        <f>VLOOKUP("S(2,1,5)",Sorteio!$D$83:$E$157,2,0)</f>
        <v>0</v>
      </c>
      <c r="C173">
        <f>VLOOKUP("S(3,1,5)",Sorteio!$D$83:$E$157,2,0)</f>
        <v>1</v>
      </c>
      <c r="D173">
        <f>VLOOKUP("S(4,1,5)",Sorteio!$D$83:$E$157,2,0)</f>
        <v>0</v>
      </c>
      <c r="E173">
        <f>VLOOKUP("S(5,1,5)",Sorteio!$D$83:$E$157,2,0)</f>
        <v>0</v>
      </c>
      <c r="F173">
        <f>SUM(Sorteio!$A$173:$E$173)</f>
        <v>1</v>
      </c>
      <c r="G173" t="s">
        <v>38</v>
      </c>
      <c r="H173">
        <v>1</v>
      </c>
    </row>
    <row r="174" spans="1:8" x14ac:dyDescent="0.25">
      <c r="A174">
        <f>VLOOKUP("S(1,2,5)",Sorteio!$D$83:$E$157,2,0)</f>
        <v>0</v>
      </c>
      <c r="B174">
        <f>VLOOKUP("S(2,2,5)",Sorteio!$D$83:$E$157,2,0)</f>
        <v>0</v>
      </c>
      <c r="C174">
        <f>VLOOKUP("S(3,2,5)",Sorteio!$D$83:$E$157,2,0)</f>
        <v>1</v>
      </c>
      <c r="D174">
        <f>VLOOKUP("S(4,2,5)",Sorteio!$D$83:$E$157,2,0)</f>
        <v>0</v>
      </c>
      <c r="E174">
        <f>VLOOKUP("S(5,2,5)",Sorteio!$D$83:$E$157,2,0)</f>
        <v>0</v>
      </c>
      <c r="F174">
        <f>SUM(Sorteio!$A$174:$E$174)</f>
        <v>1</v>
      </c>
      <c r="G174" t="s">
        <v>38</v>
      </c>
      <c r="H174">
        <v>1</v>
      </c>
    </row>
    <row r="175" spans="1:8" x14ac:dyDescent="0.25">
      <c r="A175">
        <f>VLOOKUP("S(1,3,5)",Sorteio!$D$83:$E$157,2,0)</f>
        <v>0</v>
      </c>
      <c r="B175">
        <f>VLOOKUP("S(2,3,5)",Sorteio!$D$83:$E$157,2,0)</f>
        <v>0</v>
      </c>
      <c r="C175">
        <f>VLOOKUP("S(3,3,5)",Sorteio!$D$83:$E$157,2,0)</f>
        <v>0</v>
      </c>
      <c r="D175">
        <f>VLOOKUP("S(4,3,5)",Sorteio!$D$83:$E$157,2,0)</f>
        <v>0</v>
      </c>
      <c r="E175">
        <f>VLOOKUP("S(5,3,5)",Sorteio!$D$83:$E$157,2,0)</f>
        <v>1</v>
      </c>
      <c r="F175">
        <f>SUM(Sorteio!$A$175:$E$175)</f>
        <v>1</v>
      </c>
      <c r="G175" t="s">
        <v>38</v>
      </c>
      <c r="H175">
        <v>1</v>
      </c>
    </row>
    <row r="177" spans="1:8" x14ac:dyDescent="0.25">
      <c r="A177" t="s">
        <v>39</v>
      </c>
    </row>
    <row r="178" spans="1:8" x14ac:dyDescent="0.25">
      <c r="A178" t="s">
        <v>9</v>
      </c>
      <c r="B178" t="s">
        <v>9</v>
      </c>
      <c r="C178" t="s">
        <v>9</v>
      </c>
      <c r="D178" t="s">
        <v>9</v>
      </c>
      <c r="E178" t="s">
        <v>9</v>
      </c>
      <c r="F178" t="s">
        <v>36</v>
      </c>
      <c r="G178" t="s">
        <v>37</v>
      </c>
      <c r="H178" t="s">
        <v>34</v>
      </c>
    </row>
    <row r="179" spans="1:8" x14ac:dyDescent="0.25">
      <c r="A179">
        <f>VLOOKUP("S(1,1,1)",Sorteio!$D$83:$E$157,2,0)</f>
        <v>0</v>
      </c>
      <c r="B179">
        <f>VLOOKUP("S(1,1,2)",Sorteio!$D$83:$E$157,2,0)</f>
        <v>1</v>
      </c>
      <c r="C179">
        <f>VLOOKUP("S(1,1,3)",Sorteio!$D$83:$E$157,2,0)</f>
        <v>0</v>
      </c>
      <c r="D179">
        <f>VLOOKUP("S(1,1,4)",Sorteio!$D$83:$E$157,2,0)</f>
        <v>0</v>
      </c>
      <c r="E179">
        <f>VLOOKUP("S(1,1,5)",Sorteio!$D$83:$E$157,2,0)</f>
        <v>0</v>
      </c>
      <c r="F179">
        <f>SUM(Sorteio!$A$179:$E$179)</f>
        <v>1</v>
      </c>
      <c r="G179" t="s">
        <v>38</v>
      </c>
      <c r="H179">
        <v>1</v>
      </c>
    </row>
    <row r="180" spans="1:8" x14ac:dyDescent="0.25">
      <c r="A180">
        <f>VLOOKUP("S(1,2,1)",Sorteio!$D$83:$E$157,2,0)</f>
        <v>0</v>
      </c>
      <c r="B180">
        <f>VLOOKUP("S(1,2,2)",Sorteio!$D$83:$E$157,2,0)</f>
        <v>0</v>
      </c>
      <c r="C180">
        <f>VLOOKUP("S(1,2,3)",Sorteio!$D$83:$E$157,2,0)</f>
        <v>1</v>
      </c>
      <c r="D180">
        <f>VLOOKUP("S(1,2,4)",Sorteio!$D$83:$E$157,2,0)</f>
        <v>0</v>
      </c>
      <c r="E180">
        <f>VLOOKUP("S(1,2,5)",Sorteio!$D$83:$E$157,2,0)</f>
        <v>0</v>
      </c>
      <c r="F180">
        <f>SUM(Sorteio!$A$180:$E$180)</f>
        <v>1</v>
      </c>
      <c r="G180" t="s">
        <v>38</v>
      </c>
      <c r="H180">
        <v>1</v>
      </c>
    </row>
    <row r="181" spans="1:8" x14ac:dyDescent="0.25">
      <c r="A181">
        <f>VLOOKUP("S(1,3,1)",Sorteio!$D$83:$E$157,2,0)</f>
        <v>0</v>
      </c>
      <c r="B181">
        <f>VLOOKUP("S(1,3,2)",Sorteio!$D$83:$E$157,2,0)</f>
        <v>0</v>
      </c>
      <c r="C181">
        <f>VLOOKUP("S(1,3,3)",Sorteio!$D$83:$E$157,2,0)</f>
        <v>0</v>
      </c>
      <c r="D181">
        <f>VLOOKUP("S(1,3,4)",Sorteio!$D$83:$E$157,2,0)</f>
        <v>1</v>
      </c>
      <c r="E181">
        <f>VLOOKUP("S(1,3,5)",Sorteio!$D$83:$E$157,2,0)</f>
        <v>0</v>
      </c>
      <c r="F181">
        <f>SUM(Sorteio!$A$181:$E$181)</f>
        <v>1</v>
      </c>
      <c r="G181" t="s">
        <v>38</v>
      </c>
      <c r="H181">
        <v>1</v>
      </c>
    </row>
    <row r="182" spans="1:8" x14ac:dyDescent="0.25">
      <c r="A182">
        <f>VLOOKUP("S(2,1,1)",Sorteio!$D$83:$E$157,2,0)</f>
        <v>1</v>
      </c>
      <c r="B182">
        <f>VLOOKUP("S(2,1,2)",Sorteio!$D$83:$E$157,2,0)</f>
        <v>0</v>
      </c>
      <c r="C182">
        <f>VLOOKUP("S(2,1,3)",Sorteio!$D$83:$E$157,2,0)</f>
        <v>0</v>
      </c>
      <c r="D182">
        <f>VLOOKUP("S(2,1,4)",Sorteio!$D$83:$E$157,2,0)</f>
        <v>0</v>
      </c>
      <c r="E182">
        <f>VLOOKUP("S(2,1,5)",Sorteio!$D$83:$E$157,2,0)</f>
        <v>0</v>
      </c>
      <c r="F182">
        <f>SUM(Sorteio!$A$182:$E$182)</f>
        <v>1</v>
      </c>
      <c r="G182" t="s">
        <v>38</v>
      </c>
      <c r="H182">
        <v>1</v>
      </c>
    </row>
    <row r="183" spans="1:8" x14ac:dyDescent="0.25">
      <c r="A183">
        <f>VLOOKUP("S(2,2,1)",Sorteio!$D$83:$E$157,2,0)</f>
        <v>0</v>
      </c>
      <c r="B183">
        <f>VLOOKUP("S(2,2,2)",Sorteio!$D$83:$E$157,2,0)</f>
        <v>0</v>
      </c>
      <c r="C183">
        <f>VLOOKUP("S(2,2,3)",Sorteio!$D$83:$E$157,2,0)</f>
        <v>0</v>
      </c>
      <c r="D183">
        <f>VLOOKUP("S(2,2,4)",Sorteio!$D$83:$E$157,2,0)</f>
        <v>1</v>
      </c>
      <c r="E183">
        <f>VLOOKUP("S(2,2,5)",Sorteio!$D$83:$E$157,2,0)</f>
        <v>0</v>
      </c>
      <c r="F183">
        <f>SUM(Sorteio!$A$183:$E$183)</f>
        <v>1</v>
      </c>
      <c r="G183" t="s">
        <v>38</v>
      </c>
      <c r="H183">
        <v>1</v>
      </c>
    </row>
    <row r="184" spans="1:8" x14ac:dyDescent="0.25">
      <c r="A184">
        <f>VLOOKUP("S(2,3,1)",Sorteio!$D$83:$E$157,2,0)</f>
        <v>1</v>
      </c>
      <c r="B184">
        <f>VLOOKUP("S(2,3,2)",Sorteio!$D$83:$E$157,2,0)</f>
        <v>0</v>
      </c>
      <c r="C184">
        <f>VLOOKUP("S(2,3,3)",Sorteio!$D$83:$E$157,2,0)</f>
        <v>0</v>
      </c>
      <c r="D184">
        <f>VLOOKUP("S(2,3,4)",Sorteio!$D$83:$E$157,2,0)</f>
        <v>0</v>
      </c>
      <c r="E184">
        <f>VLOOKUP("S(2,3,5)",Sorteio!$D$83:$E$157,2,0)</f>
        <v>0</v>
      </c>
      <c r="F184">
        <f>SUM(Sorteio!$A$184:$E$184)</f>
        <v>1</v>
      </c>
      <c r="G184" t="s">
        <v>38</v>
      </c>
      <c r="H184">
        <v>1</v>
      </c>
    </row>
    <row r="185" spans="1:8" x14ac:dyDescent="0.25">
      <c r="A185">
        <f>VLOOKUP("S(3,1,1)",Sorteio!$D$83:$E$157,2,0)</f>
        <v>0</v>
      </c>
      <c r="B185">
        <f>VLOOKUP("S(3,1,2)",Sorteio!$D$83:$E$157,2,0)</f>
        <v>0</v>
      </c>
      <c r="C185">
        <f>VLOOKUP("S(3,1,3)",Sorteio!$D$83:$E$157,2,0)</f>
        <v>0</v>
      </c>
      <c r="D185">
        <f>VLOOKUP("S(3,1,4)",Sorteio!$D$83:$E$157,2,0)</f>
        <v>0</v>
      </c>
      <c r="E185">
        <f>VLOOKUP("S(3,1,5)",Sorteio!$D$83:$E$157,2,0)</f>
        <v>1</v>
      </c>
      <c r="F185">
        <f>SUM(Sorteio!$A$185:$E$185)</f>
        <v>1</v>
      </c>
      <c r="G185" t="s">
        <v>38</v>
      </c>
      <c r="H185">
        <v>1</v>
      </c>
    </row>
    <row r="186" spans="1:8" x14ac:dyDescent="0.25">
      <c r="A186">
        <f>VLOOKUP("S(3,2,1)",Sorteio!$D$83:$E$157,2,0)</f>
        <v>0</v>
      </c>
      <c r="B186">
        <f>VLOOKUP("S(3,2,2)",Sorteio!$D$83:$E$157,2,0)</f>
        <v>0</v>
      </c>
      <c r="C186">
        <f>VLOOKUP("S(3,2,3)",Sorteio!$D$83:$E$157,2,0)</f>
        <v>0</v>
      </c>
      <c r="D186">
        <f>VLOOKUP("S(3,2,4)",Sorteio!$D$83:$E$157,2,0)</f>
        <v>0</v>
      </c>
      <c r="E186">
        <f>VLOOKUP("S(3,2,5)",Sorteio!$D$83:$E$157,2,0)</f>
        <v>1</v>
      </c>
      <c r="F186">
        <f>SUM(Sorteio!$A$186:$E$186)</f>
        <v>1</v>
      </c>
      <c r="G186" t="s">
        <v>38</v>
      </c>
      <c r="H186">
        <v>1</v>
      </c>
    </row>
    <row r="187" spans="1:8" x14ac:dyDescent="0.25">
      <c r="A187">
        <f>VLOOKUP("S(3,3,1)",Sorteio!$D$83:$E$157,2,0)</f>
        <v>0</v>
      </c>
      <c r="B187">
        <f>VLOOKUP("S(3,3,2)",Sorteio!$D$83:$E$157,2,0)</f>
        <v>0</v>
      </c>
      <c r="C187">
        <f>VLOOKUP("S(3,3,3)",Sorteio!$D$83:$E$157,2,0)</f>
        <v>1</v>
      </c>
      <c r="D187">
        <f>VLOOKUP("S(3,3,4)",Sorteio!$D$83:$E$157,2,0)</f>
        <v>0</v>
      </c>
      <c r="E187">
        <f>VLOOKUP("S(3,3,5)",Sorteio!$D$83:$E$157,2,0)</f>
        <v>0</v>
      </c>
      <c r="F187">
        <f>SUM(Sorteio!$A$187:$E$187)</f>
        <v>1</v>
      </c>
      <c r="G187" t="s">
        <v>38</v>
      </c>
      <c r="H187">
        <v>1</v>
      </c>
    </row>
    <row r="188" spans="1:8" x14ac:dyDescent="0.25">
      <c r="A188">
        <f>VLOOKUP("S(4,1,1)",Sorteio!$D$83:$E$157,2,0)</f>
        <v>0</v>
      </c>
      <c r="B188">
        <f>VLOOKUP("S(4,1,2)",Sorteio!$D$83:$E$157,2,0)</f>
        <v>0</v>
      </c>
      <c r="C188">
        <f>VLOOKUP("S(4,1,3)",Sorteio!$D$83:$E$157,2,0)</f>
        <v>0</v>
      </c>
      <c r="D188">
        <f>VLOOKUP("S(4,1,4)",Sorteio!$D$83:$E$157,2,0)</f>
        <v>1</v>
      </c>
      <c r="E188">
        <f>VLOOKUP("S(4,1,5)",Sorteio!$D$83:$E$157,2,0)</f>
        <v>0</v>
      </c>
      <c r="F188">
        <f>SUM(Sorteio!$A$188:$E$188)</f>
        <v>1</v>
      </c>
      <c r="G188" t="s">
        <v>38</v>
      </c>
      <c r="H188">
        <v>1</v>
      </c>
    </row>
    <row r="189" spans="1:8" x14ac:dyDescent="0.25">
      <c r="A189">
        <f>VLOOKUP("S(4,2,1)",Sorteio!$D$83:$E$157,2,0)</f>
        <v>0</v>
      </c>
      <c r="B189">
        <f>VLOOKUP("S(4,2,2)",Sorteio!$D$83:$E$157,2,0)</f>
        <v>1</v>
      </c>
      <c r="C189">
        <f>VLOOKUP("S(4,2,3)",Sorteio!$D$83:$E$157,2,0)</f>
        <v>0</v>
      </c>
      <c r="D189">
        <f>VLOOKUP("S(4,2,4)",Sorteio!$D$83:$E$157,2,0)</f>
        <v>0</v>
      </c>
      <c r="E189">
        <f>VLOOKUP("S(4,2,5)",Sorteio!$D$83:$E$157,2,0)</f>
        <v>0</v>
      </c>
      <c r="F189">
        <f>SUM(Sorteio!$A$189:$E$189)</f>
        <v>1</v>
      </c>
      <c r="G189" t="s">
        <v>38</v>
      </c>
      <c r="H189">
        <v>1</v>
      </c>
    </row>
    <row r="190" spans="1:8" x14ac:dyDescent="0.25">
      <c r="A190">
        <f>VLOOKUP("S(4,3,1)",Sorteio!$D$83:$E$157,2,0)</f>
        <v>0</v>
      </c>
      <c r="B190">
        <f>VLOOKUP("S(4,3,2)",Sorteio!$D$83:$E$157,2,0)</f>
        <v>1</v>
      </c>
      <c r="C190">
        <f>VLOOKUP("S(4,3,3)",Sorteio!$D$83:$E$157,2,0)</f>
        <v>0</v>
      </c>
      <c r="D190">
        <f>VLOOKUP("S(4,3,4)",Sorteio!$D$83:$E$157,2,0)</f>
        <v>0</v>
      </c>
      <c r="E190">
        <f>VLOOKUP("S(4,3,5)",Sorteio!$D$83:$E$157,2,0)</f>
        <v>0</v>
      </c>
      <c r="F190">
        <f>SUM(Sorteio!$A$190:$E$190)</f>
        <v>1</v>
      </c>
      <c r="G190" t="s">
        <v>38</v>
      </c>
      <c r="H190">
        <v>1</v>
      </c>
    </row>
    <row r="191" spans="1:8" x14ac:dyDescent="0.25">
      <c r="A191">
        <f>VLOOKUP("S(5,1,1)",Sorteio!$D$83:$E$157,2,0)</f>
        <v>0</v>
      </c>
      <c r="B191">
        <f>VLOOKUP("S(5,1,2)",Sorteio!$D$83:$E$157,2,0)</f>
        <v>0</v>
      </c>
      <c r="C191">
        <f>VLOOKUP("S(5,1,3)",Sorteio!$D$83:$E$157,2,0)</f>
        <v>1</v>
      </c>
      <c r="D191">
        <f>VLOOKUP("S(5,1,4)",Sorteio!$D$83:$E$157,2,0)</f>
        <v>0</v>
      </c>
      <c r="E191">
        <f>VLOOKUP("S(5,1,5)",Sorteio!$D$83:$E$157,2,0)</f>
        <v>0</v>
      </c>
      <c r="F191">
        <f>SUM(Sorteio!$A$191:$E$191)</f>
        <v>1</v>
      </c>
      <c r="G191" t="s">
        <v>38</v>
      </c>
      <c r="H191">
        <v>1</v>
      </c>
    </row>
    <row r="192" spans="1:8" x14ac:dyDescent="0.25">
      <c r="A192">
        <f>VLOOKUP("S(5,2,1)",Sorteio!$D$83:$E$157,2,0)</f>
        <v>1</v>
      </c>
      <c r="B192">
        <f>VLOOKUP("S(5,2,2)",Sorteio!$D$83:$E$157,2,0)</f>
        <v>0</v>
      </c>
      <c r="C192">
        <f>VLOOKUP("S(5,2,3)",Sorteio!$D$83:$E$157,2,0)</f>
        <v>0</v>
      </c>
      <c r="D192">
        <f>VLOOKUP("S(5,2,4)",Sorteio!$D$83:$E$157,2,0)</f>
        <v>0</v>
      </c>
      <c r="E192">
        <f>VLOOKUP("S(5,2,5)",Sorteio!$D$83:$E$157,2,0)</f>
        <v>0</v>
      </c>
      <c r="F192">
        <f>SUM(Sorteio!$A$192:$E$192)</f>
        <v>1</v>
      </c>
      <c r="G192" t="s">
        <v>38</v>
      </c>
      <c r="H192">
        <v>1</v>
      </c>
    </row>
    <row r="193" spans="1:8" x14ac:dyDescent="0.25">
      <c r="A193">
        <f>VLOOKUP("S(5,3,1)",Sorteio!$D$83:$E$157,2,0)</f>
        <v>0</v>
      </c>
      <c r="B193">
        <f>VLOOKUP("S(5,3,2)",Sorteio!$D$83:$E$157,2,0)</f>
        <v>0</v>
      </c>
      <c r="C193">
        <f>VLOOKUP("S(5,3,3)",Sorteio!$D$83:$E$157,2,0)</f>
        <v>0</v>
      </c>
      <c r="D193">
        <f>VLOOKUP("S(5,3,4)",Sorteio!$D$83:$E$157,2,0)</f>
        <v>0</v>
      </c>
      <c r="E193">
        <f>VLOOKUP("S(5,3,5)",Sorteio!$D$83:$E$157,2,0)</f>
        <v>1</v>
      </c>
      <c r="F193">
        <f>SUM(Sorteio!$A$193:$E$193)</f>
        <v>1</v>
      </c>
      <c r="G193" t="s">
        <v>38</v>
      </c>
      <c r="H193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16"/>
  <sheetViews>
    <sheetView workbookViewId="0">
      <selection activeCell="J4" sqref="J4"/>
    </sheetView>
  </sheetViews>
  <sheetFormatPr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45</v>
      </c>
      <c r="J1">
        <v>5</v>
      </c>
    </row>
    <row r="2" spans="1:10" x14ac:dyDescent="0.25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t="s">
        <v>46</v>
      </c>
      <c r="J2">
        <v>3</v>
      </c>
    </row>
    <row r="3" spans="1:10" x14ac:dyDescent="0.25">
      <c r="A3">
        <v>2</v>
      </c>
      <c r="B3">
        <v>1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t="s">
        <v>47</v>
      </c>
      <c r="J3">
        <v>5</v>
      </c>
    </row>
    <row r="4" spans="1:10" x14ac:dyDescent="0.25">
      <c r="A4">
        <v>3</v>
      </c>
      <c r="B4">
        <v>1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t="s">
        <v>48</v>
      </c>
      <c r="J4">
        <v>1</v>
      </c>
    </row>
    <row r="5" spans="1:10" x14ac:dyDescent="0.25">
      <c r="A5">
        <v>4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</row>
    <row r="6" spans="1:10" x14ac:dyDescent="0.25">
      <c r="A6">
        <v>5</v>
      </c>
      <c r="B6">
        <v>1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</row>
    <row r="7" spans="1:10" x14ac:dyDescent="0.25">
      <c r="A7">
        <v>1</v>
      </c>
      <c r="B7">
        <v>2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</row>
    <row r="8" spans="1:10" x14ac:dyDescent="0.25">
      <c r="A8">
        <v>2</v>
      </c>
      <c r="B8">
        <v>2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</row>
    <row r="9" spans="1:10" x14ac:dyDescent="0.25">
      <c r="A9">
        <v>3</v>
      </c>
      <c r="B9">
        <v>2</v>
      </c>
      <c r="C9">
        <v>0</v>
      </c>
      <c r="D9">
        <v>0</v>
      </c>
      <c r="E9">
        <v>0</v>
      </c>
      <c r="F9">
        <v>0</v>
      </c>
      <c r="G9">
        <v>1</v>
      </c>
      <c r="H9">
        <v>1</v>
      </c>
    </row>
    <row r="10" spans="1:10" x14ac:dyDescent="0.25">
      <c r="A10">
        <v>4</v>
      </c>
      <c r="B10">
        <v>2</v>
      </c>
      <c r="C10">
        <v>0</v>
      </c>
      <c r="D10">
        <v>0</v>
      </c>
      <c r="E10">
        <v>0</v>
      </c>
      <c r="F10">
        <v>0</v>
      </c>
      <c r="G10">
        <v>1</v>
      </c>
      <c r="H10">
        <v>1</v>
      </c>
    </row>
    <row r="11" spans="1:10" x14ac:dyDescent="0.25">
      <c r="A11">
        <v>5</v>
      </c>
      <c r="B11">
        <v>2</v>
      </c>
      <c r="C11">
        <v>0</v>
      </c>
      <c r="D11">
        <v>0</v>
      </c>
      <c r="E11">
        <v>0</v>
      </c>
      <c r="F11">
        <v>0</v>
      </c>
      <c r="G11">
        <v>1</v>
      </c>
      <c r="H11">
        <v>1</v>
      </c>
    </row>
    <row r="12" spans="1:10" x14ac:dyDescent="0.25">
      <c r="A12">
        <v>1</v>
      </c>
      <c r="B12">
        <v>3</v>
      </c>
      <c r="C12">
        <v>0</v>
      </c>
      <c r="D12">
        <v>0</v>
      </c>
      <c r="E12">
        <v>0</v>
      </c>
      <c r="F12">
        <v>0</v>
      </c>
      <c r="G12">
        <v>1</v>
      </c>
      <c r="H12">
        <v>1</v>
      </c>
    </row>
    <row r="13" spans="1:10" x14ac:dyDescent="0.25">
      <c r="A13">
        <v>2</v>
      </c>
      <c r="B13">
        <v>3</v>
      </c>
      <c r="C13">
        <v>0</v>
      </c>
      <c r="D13">
        <v>0</v>
      </c>
      <c r="E13">
        <v>0</v>
      </c>
      <c r="F13">
        <v>0</v>
      </c>
      <c r="G13">
        <v>1</v>
      </c>
      <c r="H13">
        <v>1</v>
      </c>
    </row>
    <row r="14" spans="1:10" x14ac:dyDescent="0.25">
      <c r="A14">
        <v>3</v>
      </c>
      <c r="B14">
        <v>3</v>
      </c>
      <c r="C14">
        <v>0</v>
      </c>
      <c r="D14">
        <v>0</v>
      </c>
      <c r="E14">
        <v>0</v>
      </c>
      <c r="F14">
        <v>0</v>
      </c>
      <c r="G14">
        <v>1</v>
      </c>
      <c r="H14">
        <v>1</v>
      </c>
    </row>
    <row r="15" spans="1:10" x14ac:dyDescent="0.25">
      <c r="A15">
        <v>4</v>
      </c>
      <c r="B15">
        <v>3</v>
      </c>
      <c r="C15">
        <v>0</v>
      </c>
      <c r="D15">
        <v>0</v>
      </c>
      <c r="E15">
        <v>0</v>
      </c>
      <c r="F15">
        <v>0</v>
      </c>
      <c r="G15">
        <v>1</v>
      </c>
      <c r="H15">
        <v>1</v>
      </c>
    </row>
    <row r="16" spans="1:10" x14ac:dyDescent="0.25">
      <c r="A16">
        <v>5</v>
      </c>
      <c r="B16">
        <v>3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F16"/>
  <sheetViews>
    <sheetView workbookViewId="0">
      <selection sqref="A1:F16"/>
    </sheetView>
  </sheetViews>
  <sheetFormatPr defaultRowHeight="15" x14ac:dyDescent="0.25"/>
  <sheetData>
    <row r="1" spans="1:6" x14ac:dyDescent="0.25">
      <c r="A1" t="s">
        <v>49</v>
      </c>
      <c r="B1" t="s">
        <v>1</v>
      </c>
      <c r="C1" t="s">
        <v>6</v>
      </c>
      <c r="D1" t="s">
        <v>50</v>
      </c>
      <c r="E1" t="s">
        <v>51</v>
      </c>
      <c r="F1" t="s">
        <v>7</v>
      </c>
    </row>
    <row r="2" spans="1:6" x14ac:dyDescent="0.25">
      <c r="A2">
        <v>1</v>
      </c>
      <c r="B2">
        <v>1</v>
      </c>
      <c r="C2">
        <v>1</v>
      </c>
      <c r="D2">
        <v>1</v>
      </c>
      <c r="E2">
        <v>1</v>
      </c>
      <c r="F2">
        <v>3</v>
      </c>
    </row>
    <row r="3" spans="1:6" x14ac:dyDescent="0.25">
      <c r="A3">
        <v>2</v>
      </c>
      <c r="B3">
        <v>1</v>
      </c>
      <c r="C3">
        <v>2</v>
      </c>
      <c r="D3">
        <v>1</v>
      </c>
      <c r="E3">
        <v>1</v>
      </c>
      <c r="F3">
        <v>4</v>
      </c>
    </row>
    <row r="4" spans="1:6" x14ac:dyDescent="0.25">
      <c r="A4">
        <v>3</v>
      </c>
      <c r="B4">
        <v>1</v>
      </c>
      <c r="C4">
        <v>3</v>
      </c>
      <c r="D4">
        <v>1</v>
      </c>
      <c r="E4">
        <v>1</v>
      </c>
      <c r="F4">
        <v>5</v>
      </c>
    </row>
    <row r="5" spans="1:6" x14ac:dyDescent="0.25">
      <c r="A5">
        <v>4</v>
      </c>
      <c r="B5">
        <v>1</v>
      </c>
      <c r="C5">
        <v>2</v>
      </c>
      <c r="D5">
        <v>1</v>
      </c>
      <c r="E5">
        <v>1</v>
      </c>
      <c r="F5">
        <v>4</v>
      </c>
    </row>
    <row r="6" spans="1:6" x14ac:dyDescent="0.25">
      <c r="A6">
        <v>5</v>
      </c>
      <c r="B6">
        <v>1</v>
      </c>
      <c r="C6">
        <v>1</v>
      </c>
      <c r="D6">
        <v>1</v>
      </c>
      <c r="E6">
        <v>1</v>
      </c>
      <c r="F6">
        <v>3</v>
      </c>
    </row>
    <row r="7" spans="1:6" x14ac:dyDescent="0.25">
      <c r="A7">
        <v>1</v>
      </c>
      <c r="B7">
        <v>2</v>
      </c>
      <c r="C7">
        <v>1</v>
      </c>
      <c r="D7">
        <v>1</v>
      </c>
      <c r="E7">
        <v>1</v>
      </c>
      <c r="F7">
        <v>3</v>
      </c>
    </row>
    <row r="8" spans="1:6" x14ac:dyDescent="0.25">
      <c r="A8">
        <v>2</v>
      </c>
      <c r="B8">
        <v>2</v>
      </c>
      <c r="C8">
        <v>2</v>
      </c>
      <c r="D8">
        <v>1</v>
      </c>
      <c r="E8">
        <v>1</v>
      </c>
      <c r="F8">
        <v>4</v>
      </c>
    </row>
    <row r="9" spans="1:6" x14ac:dyDescent="0.25">
      <c r="A9">
        <v>3</v>
      </c>
      <c r="B9">
        <v>2</v>
      </c>
      <c r="C9">
        <v>3</v>
      </c>
      <c r="D9">
        <v>1</v>
      </c>
      <c r="E9">
        <v>1</v>
      </c>
      <c r="F9">
        <v>5</v>
      </c>
    </row>
    <row r="10" spans="1:6" x14ac:dyDescent="0.25">
      <c r="A10">
        <v>4</v>
      </c>
      <c r="B10">
        <v>2</v>
      </c>
      <c r="C10">
        <v>2</v>
      </c>
      <c r="D10">
        <v>1</v>
      </c>
      <c r="E10">
        <v>1</v>
      </c>
      <c r="F10">
        <v>4</v>
      </c>
    </row>
    <row r="11" spans="1:6" x14ac:dyDescent="0.25">
      <c r="A11">
        <v>5</v>
      </c>
      <c r="B11">
        <v>2</v>
      </c>
      <c r="C11">
        <v>1</v>
      </c>
      <c r="D11">
        <v>1</v>
      </c>
      <c r="E11">
        <v>1</v>
      </c>
      <c r="F11">
        <v>3</v>
      </c>
    </row>
    <row r="12" spans="1:6" x14ac:dyDescent="0.25">
      <c r="A12">
        <v>1</v>
      </c>
      <c r="B12">
        <v>3</v>
      </c>
      <c r="C12">
        <v>1</v>
      </c>
      <c r="D12">
        <v>1</v>
      </c>
      <c r="E12">
        <v>1</v>
      </c>
      <c r="F12">
        <v>3</v>
      </c>
    </row>
    <row r="13" spans="1:6" x14ac:dyDescent="0.25">
      <c r="A13">
        <v>2</v>
      </c>
      <c r="B13">
        <v>3</v>
      </c>
      <c r="C13">
        <v>2</v>
      </c>
      <c r="D13">
        <v>1</v>
      </c>
      <c r="E13">
        <v>1</v>
      </c>
      <c r="F13">
        <v>4</v>
      </c>
    </row>
    <row r="14" spans="1:6" x14ac:dyDescent="0.25">
      <c r="A14">
        <v>3</v>
      </c>
      <c r="B14">
        <v>3</v>
      </c>
      <c r="C14">
        <v>3</v>
      </c>
      <c r="D14">
        <v>1</v>
      </c>
      <c r="E14">
        <v>1</v>
      </c>
      <c r="F14">
        <v>5</v>
      </c>
    </row>
    <row r="15" spans="1:6" x14ac:dyDescent="0.25">
      <c r="A15">
        <v>4</v>
      </c>
      <c r="B15">
        <v>3</v>
      </c>
      <c r="C15">
        <v>2</v>
      </c>
      <c r="D15">
        <v>1</v>
      </c>
      <c r="E15">
        <v>1</v>
      </c>
      <c r="F15">
        <v>4</v>
      </c>
    </row>
    <row r="16" spans="1:6" x14ac:dyDescent="0.25">
      <c r="A16">
        <v>5</v>
      </c>
      <c r="B16">
        <v>3</v>
      </c>
      <c r="C16">
        <v>1</v>
      </c>
      <c r="D16">
        <v>1</v>
      </c>
      <c r="E16">
        <v>1</v>
      </c>
      <c r="F16">
        <v>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E76"/>
  <sheetViews>
    <sheetView zoomScaleNormal="100" workbookViewId="0"/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7.7109375" bestFit="1" customWidth="1"/>
    <col min="5" max="5" width="11.28515625" bestFit="1" customWidth="1"/>
  </cols>
  <sheetData>
    <row r="1" spans="1:5" x14ac:dyDescent="0.25">
      <c r="A1" t="s">
        <v>0</v>
      </c>
      <c r="B1" t="s">
        <v>1</v>
      </c>
      <c r="C1" t="s">
        <v>8</v>
      </c>
      <c r="D1" t="s">
        <v>9</v>
      </c>
      <c r="E1" t="s">
        <v>10</v>
      </c>
    </row>
    <row r="2" spans="1:5" x14ac:dyDescent="0.25">
      <c r="A2">
        <v>1</v>
      </c>
      <c r="B2">
        <v>1</v>
      </c>
      <c r="C2">
        <v>1</v>
      </c>
      <c r="D2" t="s">
        <v>11</v>
      </c>
      <c r="E2">
        <v>1</v>
      </c>
    </row>
    <row r="3" spans="1:5" x14ac:dyDescent="0.25">
      <c r="A3">
        <v>1</v>
      </c>
      <c r="B3">
        <v>1</v>
      </c>
      <c r="C3">
        <v>2</v>
      </c>
      <c r="D3" t="s">
        <v>12</v>
      </c>
      <c r="E3">
        <v>0</v>
      </c>
    </row>
    <row r="4" spans="1:5" x14ac:dyDescent="0.25">
      <c r="A4">
        <v>1</v>
      </c>
      <c r="B4">
        <v>1</v>
      </c>
      <c r="C4">
        <v>3</v>
      </c>
      <c r="D4" t="s">
        <v>13</v>
      </c>
      <c r="E4">
        <v>1</v>
      </c>
    </row>
    <row r="5" spans="1:5" x14ac:dyDescent="0.25">
      <c r="A5">
        <v>1</v>
      </c>
      <c r="B5">
        <v>1</v>
      </c>
      <c r="C5">
        <v>4</v>
      </c>
      <c r="D5" t="s">
        <v>14</v>
      </c>
      <c r="E5">
        <v>1</v>
      </c>
    </row>
    <row r="6" spans="1:5" x14ac:dyDescent="0.25">
      <c r="A6">
        <v>1</v>
      </c>
      <c r="B6">
        <v>1</v>
      </c>
      <c r="C6">
        <v>5</v>
      </c>
      <c r="D6" t="s">
        <v>40</v>
      </c>
      <c r="E6">
        <v>1</v>
      </c>
    </row>
    <row r="7" spans="1:5" x14ac:dyDescent="0.25">
      <c r="A7">
        <v>1</v>
      </c>
      <c r="B7">
        <v>2</v>
      </c>
      <c r="C7">
        <v>1</v>
      </c>
      <c r="D7" t="s">
        <v>52</v>
      </c>
      <c r="E7">
        <v>1</v>
      </c>
    </row>
    <row r="8" spans="1:5" x14ac:dyDescent="0.25">
      <c r="A8">
        <v>1</v>
      </c>
      <c r="B8">
        <v>2</v>
      </c>
      <c r="C8">
        <v>2</v>
      </c>
      <c r="D8" t="s">
        <v>53</v>
      </c>
      <c r="E8">
        <v>1</v>
      </c>
    </row>
    <row r="9" spans="1:5" x14ac:dyDescent="0.25">
      <c r="A9">
        <v>1</v>
      </c>
      <c r="B9">
        <v>2</v>
      </c>
      <c r="C9">
        <v>3</v>
      </c>
      <c r="D9" t="s">
        <v>54</v>
      </c>
      <c r="E9">
        <v>0</v>
      </c>
    </row>
    <row r="10" spans="1:5" x14ac:dyDescent="0.25">
      <c r="A10">
        <v>1</v>
      </c>
      <c r="B10">
        <v>2</v>
      </c>
      <c r="C10">
        <v>4</v>
      </c>
      <c r="D10" t="s">
        <v>55</v>
      </c>
      <c r="E10">
        <v>1</v>
      </c>
    </row>
    <row r="11" spans="1:5" x14ac:dyDescent="0.25">
      <c r="A11">
        <v>1</v>
      </c>
      <c r="B11">
        <v>2</v>
      </c>
      <c r="C11">
        <v>5</v>
      </c>
      <c r="D11" t="s">
        <v>56</v>
      </c>
      <c r="E11">
        <v>1</v>
      </c>
    </row>
    <row r="12" spans="1:5" x14ac:dyDescent="0.25">
      <c r="A12">
        <v>1</v>
      </c>
      <c r="B12">
        <v>3</v>
      </c>
      <c r="C12">
        <v>1</v>
      </c>
      <c r="D12" t="s">
        <v>57</v>
      </c>
      <c r="E12">
        <v>1</v>
      </c>
    </row>
    <row r="13" spans="1:5" x14ac:dyDescent="0.25">
      <c r="A13">
        <v>1</v>
      </c>
      <c r="B13">
        <v>3</v>
      </c>
      <c r="C13">
        <v>2</v>
      </c>
      <c r="D13" t="s">
        <v>58</v>
      </c>
      <c r="E13">
        <v>1</v>
      </c>
    </row>
    <row r="14" spans="1:5" x14ac:dyDescent="0.25">
      <c r="A14">
        <v>1</v>
      </c>
      <c r="B14">
        <v>3</v>
      </c>
      <c r="C14">
        <v>3</v>
      </c>
      <c r="D14" t="s">
        <v>59</v>
      </c>
      <c r="E14">
        <v>1</v>
      </c>
    </row>
    <row r="15" spans="1:5" x14ac:dyDescent="0.25">
      <c r="A15">
        <v>1</v>
      </c>
      <c r="B15">
        <v>3</v>
      </c>
      <c r="C15">
        <v>4</v>
      </c>
      <c r="D15" t="s">
        <v>60</v>
      </c>
      <c r="E15">
        <v>0</v>
      </c>
    </row>
    <row r="16" spans="1:5" x14ac:dyDescent="0.25">
      <c r="A16">
        <v>1</v>
      </c>
      <c r="B16">
        <v>3</v>
      </c>
      <c r="C16">
        <v>5</v>
      </c>
      <c r="D16" t="s">
        <v>61</v>
      </c>
      <c r="E16">
        <v>1</v>
      </c>
    </row>
    <row r="17" spans="1:5" x14ac:dyDescent="0.25">
      <c r="A17">
        <v>2</v>
      </c>
      <c r="B17">
        <v>1</v>
      </c>
      <c r="C17">
        <v>1</v>
      </c>
      <c r="D17" t="s">
        <v>15</v>
      </c>
      <c r="E17">
        <v>0</v>
      </c>
    </row>
    <row r="18" spans="1:5" x14ac:dyDescent="0.25">
      <c r="A18">
        <v>2</v>
      </c>
      <c r="B18">
        <v>1</v>
      </c>
      <c r="C18">
        <v>2</v>
      </c>
      <c r="D18" t="s">
        <v>16</v>
      </c>
      <c r="E18">
        <v>1</v>
      </c>
    </row>
    <row r="19" spans="1:5" x14ac:dyDescent="0.25">
      <c r="A19">
        <v>2</v>
      </c>
      <c r="B19">
        <v>1</v>
      </c>
      <c r="C19">
        <v>3</v>
      </c>
      <c r="D19" t="s">
        <v>17</v>
      </c>
      <c r="E19">
        <v>1</v>
      </c>
    </row>
    <row r="20" spans="1:5" x14ac:dyDescent="0.25">
      <c r="A20">
        <v>2</v>
      </c>
      <c r="B20">
        <v>1</v>
      </c>
      <c r="C20">
        <v>4</v>
      </c>
      <c r="D20" t="s">
        <v>18</v>
      </c>
      <c r="E20">
        <v>1</v>
      </c>
    </row>
    <row r="21" spans="1:5" x14ac:dyDescent="0.25">
      <c r="A21">
        <v>2</v>
      </c>
      <c r="B21">
        <v>1</v>
      </c>
      <c r="C21">
        <v>5</v>
      </c>
      <c r="D21" t="s">
        <v>41</v>
      </c>
      <c r="E21">
        <v>1</v>
      </c>
    </row>
    <row r="22" spans="1:5" x14ac:dyDescent="0.25">
      <c r="A22">
        <v>2</v>
      </c>
      <c r="B22">
        <v>2</v>
      </c>
      <c r="C22">
        <v>1</v>
      </c>
      <c r="D22" t="s">
        <v>62</v>
      </c>
      <c r="E22">
        <v>1</v>
      </c>
    </row>
    <row r="23" spans="1:5" x14ac:dyDescent="0.25">
      <c r="A23">
        <v>2</v>
      </c>
      <c r="B23">
        <v>2</v>
      </c>
      <c r="C23">
        <v>2</v>
      </c>
      <c r="D23" t="s">
        <v>63</v>
      </c>
      <c r="E23">
        <v>1</v>
      </c>
    </row>
    <row r="24" spans="1:5" x14ac:dyDescent="0.25">
      <c r="A24">
        <v>2</v>
      </c>
      <c r="B24">
        <v>2</v>
      </c>
      <c r="C24">
        <v>3</v>
      </c>
      <c r="D24" t="s">
        <v>64</v>
      </c>
      <c r="E24">
        <v>1</v>
      </c>
    </row>
    <row r="25" spans="1:5" x14ac:dyDescent="0.25">
      <c r="A25">
        <v>2</v>
      </c>
      <c r="B25">
        <v>2</v>
      </c>
      <c r="C25">
        <v>4</v>
      </c>
      <c r="D25" t="s">
        <v>65</v>
      </c>
      <c r="E25">
        <v>0</v>
      </c>
    </row>
    <row r="26" spans="1:5" x14ac:dyDescent="0.25">
      <c r="A26">
        <v>2</v>
      </c>
      <c r="B26">
        <v>2</v>
      </c>
      <c r="C26">
        <v>5</v>
      </c>
      <c r="D26" t="s">
        <v>66</v>
      </c>
      <c r="E26">
        <v>1</v>
      </c>
    </row>
    <row r="27" spans="1:5" x14ac:dyDescent="0.25">
      <c r="A27">
        <v>2</v>
      </c>
      <c r="B27">
        <v>3</v>
      </c>
      <c r="C27">
        <v>1</v>
      </c>
      <c r="D27" t="s">
        <v>67</v>
      </c>
      <c r="E27">
        <v>0</v>
      </c>
    </row>
    <row r="28" spans="1:5" x14ac:dyDescent="0.25">
      <c r="A28">
        <v>2</v>
      </c>
      <c r="B28">
        <v>3</v>
      </c>
      <c r="C28">
        <v>2</v>
      </c>
      <c r="D28" t="s">
        <v>68</v>
      </c>
      <c r="E28">
        <v>1</v>
      </c>
    </row>
    <row r="29" spans="1:5" x14ac:dyDescent="0.25">
      <c r="A29">
        <v>2</v>
      </c>
      <c r="B29">
        <v>3</v>
      </c>
      <c r="C29">
        <v>3</v>
      </c>
      <c r="D29" t="s">
        <v>69</v>
      </c>
      <c r="E29">
        <v>1</v>
      </c>
    </row>
    <row r="30" spans="1:5" x14ac:dyDescent="0.25">
      <c r="A30">
        <v>2</v>
      </c>
      <c r="B30">
        <v>3</v>
      </c>
      <c r="C30">
        <v>4</v>
      </c>
      <c r="D30" t="s">
        <v>70</v>
      </c>
      <c r="E30">
        <v>1</v>
      </c>
    </row>
    <row r="31" spans="1:5" x14ac:dyDescent="0.25">
      <c r="A31">
        <v>2</v>
      </c>
      <c r="B31">
        <v>3</v>
      </c>
      <c r="C31">
        <v>5</v>
      </c>
      <c r="D31" t="s">
        <v>71</v>
      </c>
      <c r="E31">
        <v>1</v>
      </c>
    </row>
    <row r="32" spans="1:5" x14ac:dyDescent="0.25">
      <c r="A32">
        <v>3</v>
      </c>
      <c r="B32">
        <v>1</v>
      </c>
      <c r="C32">
        <v>1</v>
      </c>
      <c r="D32" t="s">
        <v>19</v>
      </c>
      <c r="E32">
        <v>1</v>
      </c>
    </row>
    <row r="33" spans="1:5" x14ac:dyDescent="0.25">
      <c r="A33">
        <v>3</v>
      </c>
      <c r="B33">
        <v>1</v>
      </c>
      <c r="C33">
        <v>2</v>
      </c>
      <c r="D33" t="s">
        <v>20</v>
      </c>
      <c r="E33">
        <v>1</v>
      </c>
    </row>
    <row r="34" spans="1:5" x14ac:dyDescent="0.25">
      <c r="A34">
        <v>3</v>
      </c>
      <c r="B34">
        <v>1</v>
      </c>
      <c r="C34">
        <v>3</v>
      </c>
      <c r="D34" t="s">
        <v>21</v>
      </c>
      <c r="E34">
        <v>1</v>
      </c>
    </row>
    <row r="35" spans="1:5" x14ac:dyDescent="0.25">
      <c r="A35">
        <v>3</v>
      </c>
      <c r="B35">
        <v>1</v>
      </c>
      <c r="C35">
        <v>4</v>
      </c>
      <c r="D35" t="s">
        <v>22</v>
      </c>
      <c r="E35">
        <v>1</v>
      </c>
    </row>
    <row r="36" spans="1:5" x14ac:dyDescent="0.25">
      <c r="A36">
        <v>3</v>
      </c>
      <c r="B36">
        <v>1</v>
      </c>
      <c r="C36">
        <v>5</v>
      </c>
      <c r="D36" t="s">
        <v>42</v>
      </c>
      <c r="E36">
        <v>0</v>
      </c>
    </row>
    <row r="37" spans="1:5" x14ac:dyDescent="0.25">
      <c r="A37">
        <v>3</v>
      </c>
      <c r="B37">
        <v>2</v>
      </c>
      <c r="C37">
        <v>1</v>
      </c>
      <c r="D37" t="s">
        <v>72</v>
      </c>
      <c r="E37">
        <v>1</v>
      </c>
    </row>
    <row r="38" spans="1:5" x14ac:dyDescent="0.25">
      <c r="A38">
        <v>3</v>
      </c>
      <c r="B38">
        <v>2</v>
      </c>
      <c r="C38">
        <v>2</v>
      </c>
      <c r="D38" t="s">
        <v>73</v>
      </c>
      <c r="E38">
        <v>1</v>
      </c>
    </row>
    <row r="39" spans="1:5" x14ac:dyDescent="0.25">
      <c r="A39">
        <v>3</v>
      </c>
      <c r="B39">
        <v>2</v>
      </c>
      <c r="C39">
        <v>3</v>
      </c>
      <c r="D39" t="s">
        <v>74</v>
      </c>
      <c r="E39">
        <v>1</v>
      </c>
    </row>
    <row r="40" spans="1:5" x14ac:dyDescent="0.25">
      <c r="A40">
        <v>3</v>
      </c>
      <c r="B40">
        <v>2</v>
      </c>
      <c r="C40">
        <v>4</v>
      </c>
      <c r="D40" t="s">
        <v>75</v>
      </c>
      <c r="E40">
        <v>1</v>
      </c>
    </row>
    <row r="41" spans="1:5" x14ac:dyDescent="0.25">
      <c r="A41">
        <v>3</v>
      </c>
      <c r="B41">
        <v>2</v>
      </c>
      <c r="C41">
        <v>5</v>
      </c>
      <c r="D41" t="s">
        <v>76</v>
      </c>
      <c r="E41">
        <v>0</v>
      </c>
    </row>
    <row r="42" spans="1:5" x14ac:dyDescent="0.25">
      <c r="A42">
        <v>3</v>
      </c>
      <c r="B42">
        <v>3</v>
      </c>
      <c r="C42">
        <v>1</v>
      </c>
      <c r="D42" t="s">
        <v>77</v>
      </c>
      <c r="E42">
        <v>1</v>
      </c>
    </row>
    <row r="43" spans="1:5" x14ac:dyDescent="0.25">
      <c r="A43">
        <v>3</v>
      </c>
      <c r="B43">
        <v>3</v>
      </c>
      <c r="C43">
        <v>2</v>
      </c>
      <c r="D43" t="s">
        <v>78</v>
      </c>
      <c r="E43">
        <v>1</v>
      </c>
    </row>
    <row r="44" spans="1:5" x14ac:dyDescent="0.25">
      <c r="A44">
        <v>3</v>
      </c>
      <c r="B44">
        <v>3</v>
      </c>
      <c r="C44">
        <v>3</v>
      </c>
      <c r="D44" t="s">
        <v>79</v>
      </c>
      <c r="E44">
        <v>0</v>
      </c>
    </row>
    <row r="45" spans="1:5" x14ac:dyDescent="0.25">
      <c r="A45">
        <v>3</v>
      </c>
      <c r="B45">
        <v>3</v>
      </c>
      <c r="C45">
        <v>4</v>
      </c>
      <c r="D45" t="s">
        <v>80</v>
      </c>
      <c r="E45">
        <v>1</v>
      </c>
    </row>
    <row r="46" spans="1:5" x14ac:dyDescent="0.25">
      <c r="A46">
        <v>3</v>
      </c>
      <c r="B46">
        <v>3</v>
      </c>
      <c r="C46">
        <v>5</v>
      </c>
      <c r="D46" t="s">
        <v>81</v>
      </c>
      <c r="E46">
        <v>1</v>
      </c>
    </row>
    <row r="47" spans="1:5" x14ac:dyDescent="0.25">
      <c r="A47">
        <v>4</v>
      </c>
      <c r="B47">
        <v>1</v>
      </c>
      <c r="C47">
        <v>1</v>
      </c>
      <c r="D47" t="s">
        <v>23</v>
      </c>
      <c r="E47">
        <v>1</v>
      </c>
    </row>
    <row r="48" spans="1:5" x14ac:dyDescent="0.25">
      <c r="A48">
        <v>4</v>
      </c>
      <c r="B48">
        <v>1</v>
      </c>
      <c r="C48">
        <v>2</v>
      </c>
      <c r="D48" t="s">
        <v>24</v>
      </c>
      <c r="E48">
        <v>1</v>
      </c>
    </row>
    <row r="49" spans="1:5" x14ac:dyDescent="0.25">
      <c r="A49">
        <v>4</v>
      </c>
      <c r="B49">
        <v>1</v>
      </c>
      <c r="C49">
        <v>3</v>
      </c>
      <c r="D49" t="s">
        <v>25</v>
      </c>
      <c r="E49">
        <v>1</v>
      </c>
    </row>
    <row r="50" spans="1:5" x14ac:dyDescent="0.25">
      <c r="A50">
        <v>4</v>
      </c>
      <c r="B50">
        <v>1</v>
      </c>
      <c r="C50">
        <v>4</v>
      </c>
      <c r="D50" t="s">
        <v>26</v>
      </c>
      <c r="E50">
        <v>0</v>
      </c>
    </row>
    <row r="51" spans="1:5" x14ac:dyDescent="0.25">
      <c r="A51">
        <v>4</v>
      </c>
      <c r="B51">
        <v>1</v>
      </c>
      <c r="C51">
        <v>5</v>
      </c>
      <c r="D51" t="s">
        <v>43</v>
      </c>
      <c r="E51">
        <v>1</v>
      </c>
    </row>
    <row r="52" spans="1:5" x14ac:dyDescent="0.25">
      <c r="A52">
        <v>4</v>
      </c>
      <c r="B52">
        <v>2</v>
      </c>
      <c r="C52">
        <v>1</v>
      </c>
      <c r="D52" t="s">
        <v>82</v>
      </c>
      <c r="E52">
        <v>1</v>
      </c>
    </row>
    <row r="53" spans="1:5" x14ac:dyDescent="0.25">
      <c r="A53">
        <v>4</v>
      </c>
      <c r="B53">
        <v>2</v>
      </c>
      <c r="C53">
        <v>2</v>
      </c>
      <c r="D53" t="s">
        <v>83</v>
      </c>
      <c r="E53">
        <v>0</v>
      </c>
    </row>
    <row r="54" spans="1:5" x14ac:dyDescent="0.25">
      <c r="A54">
        <v>4</v>
      </c>
      <c r="B54">
        <v>2</v>
      </c>
      <c r="C54">
        <v>3</v>
      </c>
      <c r="D54" t="s">
        <v>84</v>
      </c>
      <c r="E54">
        <v>1</v>
      </c>
    </row>
    <row r="55" spans="1:5" x14ac:dyDescent="0.25">
      <c r="A55">
        <v>4</v>
      </c>
      <c r="B55">
        <v>2</v>
      </c>
      <c r="C55">
        <v>4</v>
      </c>
      <c r="D55" t="s">
        <v>85</v>
      </c>
      <c r="E55">
        <v>1</v>
      </c>
    </row>
    <row r="56" spans="1:5" x14ac:dyDescent="0.25">
      <c r="A56">
        <v>4</v>
      </c>
      <c r="B56">
        <v>2</v>
      </c>
      <c r="C56">
        <v>5</v>
      </c>
      <c r="D56" t="s">
        <v>86</v>
      </c>
      <c r="E56">
        <v>1</v>
      </c>
    </row>
    <row r="57" spans="1:5" x14ac:dyDescent="0.25">
      <c r="A57">
        <v>4</v>
      </c>
      <c r="B57">
        <v>3</v>
      </c>
      <c r="C57">
        <v>1</v>
      </c>
      <c r="D57" t="s">
        <v>87</v>
      </c>
      <c r="E57">
        <v>1</v>
      </c>
    </row>
    <row r="58" spans="1:5" x14ac:dyDescent="0.25">
      <c r="A58">
        <v>4</v>
      </c>
      <c r="B58">
        <v>3</v>
      </c>
      <c r="C58">
        <v>2</v>
      </c>
      <c r="D58" t="s">
        <v>88</v>
      </c>
      <c r="E58">
        <v>0</v>
      </c>
    </row>
    <row r="59" spans="1:5" x14ac:dyDescent="0.25">
      <c r="A59">
        <v>4</v>
      </c>
      <c r="B59">
        <v>3</v>
      </c>
      <c r="C59">
        <v>3</v>
      </c>
      <c r="D59" t="s">
        <v>89</v>
      </c>
      <c r="E59">
        <v>1</v>
      </c>
    </row>
    <row r="60" spans="1:5" x14ac:dyDescent="0.25">
      <c r="A60">
        <v>4</v>
      </c>
      <c r="B60">
        <v>3</v>
      </c>
      <c r="C60">
        <v>4</v>
      </c>
      <c r="D60" t="s">
        <v>90</v>
      </c>
      <c r="E60">
        <v>1</v>
      </c>
    </row>
    <row r="61" spans="1:5" x14ac:dyDescent="0.25">
      <c r="A61">
        <v>4</v>
      </c>
      <c r="B61">
        <v>3</v>
      </c>
      <c r="C61">
        <v>5</v>
      </c>
      <c r="D61" t="s">
        <v>91</v>
      </c>
      <c r="E61">
        <v>1</v>
      </c>
    </row>
    <row r="62" spans="1:5" x14ac:dyDescent="0.25">
      <c r="A62">
        <v>5</v>
      </c>
      <c r="B62">
        <v>1</v>
      </c>
      <c r="C62">
        <v>1</v>
      </c>
      <c r="D62" t="s">
        <v>27</v>
      </c>
      <c r="E62">
        <v>1</v>
      </c>
    </row>
    <row r="63" spans="1:5" x14ac:dyDescent="0.25">
      <c r="A63">
        <v>5</v>
      </c>
      <c r="B63">
        <v>1</v>
      </c>
      <c r="C63">
        <v>2</v>
      </c>
      <c r="D63" t="s">
        <v>28</v>
      </c>
      <c r="E63">
        <v>1</v>
      </c>
    </row>
    <row r="64" spans="1:5" x14ac:dyDescent="0.25">
      <c r="A64">
        <v>5</v>
      </c>
      <c r="B64">
        <v>1</v>
      </c>
      <c r="C64">
        <v>3</v>
      </c>
      <c r="D64" t="s">
        <v>29</v>
      </c>
      <c r="E64">
        <v>0</v>
      </c>
    </row>
    <row r="65" spans="1:5" x14ac:dyDescent="0.25">
      <c r="A65">
        <v>5</v>
      </c>
      <c r="B65">
        <v>1</v>
      </c>
      <c r="C65">
        <v>4</v>
      </c>
      <c r="D65" t="s">
        <v>30</v>
      </c>
      <c r="E65">
        <v>1</v>
      </c>
    </row>
    <row r="66" spans="1:5" x14ac:dyDescent="0.25">
      <c r="A66">
        <v>5</v>
      </c>
      <c r="B66">
        <v>1</v>
      </c>
      <c r="C66">
        <v>5</v>
      </c>
      <c r="D66" t="s">
        <v>44</v>
      </c>
      <c r="E66">
        <v>1</v>
      </c>
    </row>
    <row r="67" spans="1:5" x14ac:dyDescent="0.25">
      <c r="A67">
        <v>5</v>
      </c>
      <c r="B67">
        <v>2</v>
      </c>
      <c r="C67">
        <v>1</v>
      </c>
      <c r="D67" t="s">
        <v>92</v>
      </c>
      <c r="E67">
        <v>0</v>
      </c>
    </row>
    <row r="68" spans="1:5" x14ac:dyDescent="0.25">
      <c r="A68">
        <v>5</v>
      </c>
      <c r="B68">
        <v>2</v>
      </c>
      <c r="C68">
        <v>2</v>
      </c>
      <c r="D68" t="s">
        <v>93</v>
      </c>
      <c r="E68">
        <v>1</v>
      </c>
    </row>
    <row r="69" spans="1:5" x14ac:dyDescent="0.25">
      <c r="A69">
        <v>5</v>
      </c>
      <c r="B69">
        <v>2</v>
      </c>
      <c r="C69">
        <v>3</v>
      </c>
      <c r="D69" t="s">
        <v>94</v>
      </c>
      <c r="E69">
        <v>1</v>
      </c>
    </row>
    <row r="70" spans="1:5" x14ac:dyDescent="0.25">
      <c r="A70">
        <v>5</v>
      </c>
      <c r="B70">
        <v>2</v>
      </c>
      <c r="C70">
        <v>4</v>
      </c>
      <c r="D70" t="s">
        <v>95</v>
      </c>
      <c r="E70">
        <v>1</v>
      </c>
    </row>
    <row r="71" spans="1:5" x14ac:dyDescent="0.25">
      <c r="A71">
        <v>5</v>
      </c>
      <c r="B71">
        <v>2</v>
      </c>
      <c r="C71">
        <v>5</v>
      </c>
      <c r="D71" t="s">
        <v>96</v>
      </c>
      <c r="E71">
        <v>1</v>
      </c>
    </row>
    <row r="72" spans="1:5" x14ac:dyDescent="0.25">
      <c r="A72">
        <v>5</v>
      </c>
      <c r="B72">
        <v>3</v>
      </c>
      <c r="C72">
        <v>1</v>
      </c>
      <c r="D72" t="s">
        <v>97</v>
      </c>
      <c r="E72">
        <v>1</v>
      </c>
    </row>
    <row r="73" spans="1:5" x14ac:dyDescent="0.25">
      <c r="A73">
        <v>5</v>
      </c>
      <c r="B73">
        <v>3</v>
      </c>
      <c r="C73">
        <v>2</v>
      </c>
      <c r="D73" t="s">
        <v>98</v>
      </c>
      <c r="E73">
        <v>1</v>
      </c>
    </row>
    <row r="74" spans="1:5" x14ac:dyDescent="0.25">
      <c r="A74">
        <v>5</v>
      </c>
      <c r="B74">
        <v>3</v>
      </c>
      <c r="C74">
        <v>3</v>
      </c>
      <c r="D74" t="s">
        <v>99</v>
      </c>
      <c r="E74">
        <v>1</v>
      </c>
    </row>
    <row r="75" spans="1:5" x14ac:dyDescent="0.25">
      <c r="A75">
        <v>5</v>
      </c>
      <c r="B75">
        <v>3</v>
      </c>
      <c r="C75">
        <v>4</v>
      </c>
      <c r="D75" t="s">
        <v>100</v>
      </c>
      <c r="E75">
        <v>1</v>
      </c>
    </row>
    <row r="76" spans="1:5" x14ac:dyDescent="0.25">
      <c r="A76">
        <v>5</v>
      </c>
      <c r="B76">
        <v>3</v>
      </c>
      <c r="C76">
        <v>5</v>
      </c>
      <c r="D76" t="s">
        <v>101</v>
      </c>
      <c r="E76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C16"/>
  <sheetViews>
    <sheetView tabSelected="1" workbookViewId="0"/>
  </sheetViews>
  <sheetFormatPr defaultRowHeight="15" x14ac:dyDescent="0.25"/>
  <cols>
    <col min="1" max="1" width="14.85546875" customWidth="1"/>
    <col min="2" max="2" width="8" customWidth="1"/>
    <col min="3" max="3" width="7.42578125" customWidth="1"/>
  </cols>
  <sheetData>
    <row r="1" spans="1:3" x14ac:dyDescent="0.25">
      <c r="A1" t="s">
        <v>0</v>
      </c>
      <c r="B1" t="s">
        <v>1</v>
      </c>
      <c r="C1" t="s">
        <v>8</v>
      </c>
    </row>
    <row r="2" spans="1:3" x14ac:dyDescent="0.25">
      <c r="A2">
        <v>1</v>
      </c>
      <c r="B2">
        <v>1</v>
      </c>
      <c r="C2">
        <v>2</v>
      </c>
    </row>
    <row r="3" spans="1:3" x14ac:dyDescent="0.25">
      <c r="A3">
        <v>1</v>
      </c>
      <c r="B3">
        <v>2</v>
      </c>
      <c r="C3">
        <v>3</v>
      </c>
    </row>
    <row r="4" spans="1:3" x14ac:dyDescent="0.25">
      <c r="A4">
        <v>1</v>
      </c>
      <c r="B4">
        <v>3</v>
      </c>
      <c r="C4">
        <v>4</v>
      </c>
    </row>
    <row r="5" spans="1:3" x14ac:dyDescent="0.25">
      <c r="A5">
        <v>2</v>
      </c>
      <c r="B5">
        <v>1</v>
      </c>
      <c r="C5">
        <v>1</v>
      </c>
    </row>
    <row r="6" spans="1:3" x14ac:dyDescent="0.25">
      <c r="A6">
        <v>2</v>
      </c>
      <c r="B6">
        <v>2</v>
      </c>
      <c r="C6">
        <v>4</v>
      </c>
    </row>
    <row r="7" spans="1:3" x14ac:dyDescent="0.25">
      <c r="A7">
        <v>2</v>
      </c>
      <c r="B7">
        <v>3</v>
      </c>
      <c r="C7">
        <v>1</v>
      </c>
    </row>
    <row r="8" spans="1:3" x14ac:dyDescent="0.25">
      <c r="A8">
        <v>3</v>
      </c>
      <c r="B8">
        <v>1</v>
      </c>
      <c r="C8">
        <v>5</v>
      </c>
    </row>
    <row r="9" spans="1:3" x14ac:dyDescent="0.25">
      <c r="A9">
        <v>3</v>
      </c>
      <c r="B9">
        <v>2</v>
      </c>
      <c r="C9">
        <v>5</v>
      </c>
    </row>
    <row r="10" spans="1:3" x14ac:dyDescent="0.25">
      <c r="A10">
        <v>3</v>
      </c>
      <c r="B10">
        <v>3</v>
      </c>
      <c r="C10">
        <v>3</v>
      </c>
    </row>
    <row r="11" spans="1:3" x14ac:dyDescent="0.25">
      <c r="A11">
        <v>4</v>
      </c>
      <c r="B11">
        <v>1</v>
      </c>
      <c r="C11">
        <v>4</v>
      </c>
    </row>
    <row r="12" spans="1:3" x14ac:dyDescent="0.25">
      <c r="A12">
        <v>4</v>
      </c>
      <c r="B12">
        <v>2</v>
      </c>
      <c r="C12">
        <v>2</v>
      </c>
    </row>
    <row r="13" spans="1:3" x14ac:dyDescent="0.25">
      <c r="A13">
        <v>4</v>
      </c>
      <c r="B13">
        <v>3</v>
      </c>
      <c r="C13">
        <v>2</v>
      </c>
    </row>
    <row r="14" spans="1:3" x14ac:dyDescent="0.25">
      <c r="A14">
        <v>5</v>
      </c>
      <c r="B14">
        <v>1</v>
      </c>
      <c r="C14">
        <v>3</v>
      </c>
    </row>
    <row r="15" spans="1:3" x14ac:dyDescent="0.25">
      <c r="A15">
        <v>5</v>
      </c>
      <c r="B15">
        <v>2</v>
      </c>
      <c r="C15">
        <v>1</v>
      </c>
    </row>
    <row r="16" spans="1:3" x14ac:dyDescent="0.25">
      <c r="A16">
        <v>5</v>
      </c>
      <c r="B16">
        <v>3</v>
      </c>
      <c r="C16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Executar</vt:lpstr>
      <vt:lpstr>Sorteio</vt:lpstr>
      <vt:lpstr>Peso dos Apartamentos</vt:lpstr>
      <vt:lpstr>Peso das Vagas</vt:lpstr>
      <vt:lpstr>Histórico dos Sorteios</vt:lpstr>
      <vt:lpstr>Sorteios Escolhidos</vt:lpstr>
      <vt:lpstr>Sorteio!OpenSolverModelParameters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Altheman</dc:creator>
  <cp:lastModifiedBy>T-Gamer</cp:lastModifiedBy>
  <dcterms:created xsi:type="dcterms:W3CDTF">2018-09-11T17:51:19Z</dcterms:created>
  <dcterms:modified xsi:type="dcterms:W3CDTF">2022-05-26T21:18:37Z</dcterms:modified>
</cp:coreProperties>
</file>