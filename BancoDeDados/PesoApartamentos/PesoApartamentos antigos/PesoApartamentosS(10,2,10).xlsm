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eno\Desktop\faculdade\semestre10\TCC2\Report05\Sorteio de vagas\Banco de Dados\PesoApartamentos\"/>
    </mc:Choice>
  </mc:AlternateContent>
  <xr:revisionPtr revIDLastSave="0" documentId="8_{29489EA3-C032-4418-9B11-29542DDAF5CB}" xr6:coauthVersionLast="36" xr6:coauthVersionMax="36" xr10:uidLastSave="{00000000-0000-0000-0000-000000000000}"/>
  <bookViews>
    <workbookView xWindow="0" yWindow="0" windowWidth="20490" windowHeight="7545" xr2:uid="{3C0DF9BD-D257-4AD1-9E02-CA705EE44858}"/>
  </bookViews>
  <sheets>
    <sheet name="Peso dos Apartamentos" sheetId="1" r:id="rId1"/>
    <sheet name="Peso das Vagas" sheetId="2" r:id="rId2"/>
    <sheet name="Histórico dos Sorteios" sheetId="4" r:id="rId3"/>
    <sheet name="Planilha2" sheetId="3" r:id="rId4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01" i="3" l="1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F21" i="2"/>
  <c r="F20" i="2"/>
  <c r="F19" i="2"/>
  <c r="F18" i="2"/>
  <c r="F17" i="2"/>
  <c r="F16" i="2"/>
  <c r="F15" i="2"/>
  <c r="F14" i="2"/>
  <c r="F13" i="2"/>
  <c r="F12" i="2"/>
  <c r="G31" i="3"/>
  <c r="G32" i="3"/>
  <c r="G33" i="3"/>
  <c r="G30" i="3"/>
  <c r="G27" i="3"/>
  <c r="G28" i="3"/>
  <c r="G29" i="3"/>
  <c r="G26" i="3"/>
  <c r="G23" i="3"/>
  <c r="G24" i="3"/>
  <c r="G25" i="3"/>
  <c r="G22" i="3"/>
  <c r="G19" i="3"/>
  <c r="G20" i="3"/>
  <c r="G21" i="3"/>
  <c r="G18" i="3"/>
  <c r="G17" i="3"/>
  <c r="G15" i="3"/>
  <c r="G16" i="3"/>
  <c r="G14" i="3"/>
  <c r="G13" i="3"/>
  <c r="G9" i="3"/>
  <c r="G11" i="3"/>
  <c r="G12" i="3"/>
  <c r="G10" i="3"/>
  <c r="G7" i="3"/>
  <c r="G8" i="3"/>
  <c r="G6" i="3"/>
  <c r="G3" i="3"/>
  <c r="G4" i="3"/>
  <c r="G5" i="3"/>
  <c r="G2" i="3"/>
  <c r="F2" i="2" l="1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<sst xmlns="http://schemas.openxmlformats.org/spreadsheetml/2006/main" count="221" uniqueCount="216">
  <si>
    <t>Apartamento</t>
  </si>
  <si>
    <t>Bloco</t>
  </si>
  <si>
    <t>Idoso</t>
  </si>
  <si>
    <t>Deficiente Físico</t>
  </si>
  <si>
    <t>Gestante</t>
  </si>
  <si>
    <t>Inadimplente</t>
  </si>
  <si>
    <t>Distância</t>
  </si>
  <si>
    <t>Soma</t>
  </si>
  <si>
    <t xml:space="preserve">Vaga </t>
  </si>
  <si>
    <t>Proteção Contra intempéries</t>
  </si>
  <si>
    <t>Vaga Presa</t>
  </si>
  <si>
    <t>Vaga</t>
  </si>
  <si>
    <t>S(a,b,v)</t>
  </si>
  <si>
    <t>Coeficiente</t>
  </si>
  <si>
    <t>S(1,1,1)</t>
  </si>
  <si>
    <t>S(1,1,2)</t>
  </si>
  <si>
    <t>S(1,1,3)</t>
  </si>
  <si>
    <t>S(1,1,4)</t>
  </si>
  <si>
    <t>S(1,1,5)</t>
  </si>
  <si>
    <t>S(1,1,6)</t>
  </si>
  <si>
    <t>S(1,1,7)</t>
  </si>
  <si>
    <t>S(1,1,8)</t>
  </si>
  <si>
    <t>S(1,1,9)</t>
  </si>
  <si>
    <t>S(1,1,10)</t>
  </si>
  <si>
    <t>S(1,2,1)</t>
  </si>
  <si>
    <t>S(1,2,2)</t>
  </si>
  <si>
    <t>S(1,2,3)</t>
  </si>
  <si>
    <t>S(1,2,4)</t>
  </si>
  <si>
    <t>S(1,2,5)</t>
  </si>
  <si>
    <t>S(1,2,6)</t>
  </si>
  <si>
    <t>S(1,2,7)</t>
  </si>
  <si>
    <t>S(1,2,8)</t>
  </si>
  <si>
    <t>S(1,2,9)</t>
  </si>
  <si>
    <t>S(1,2,10)</t>
  </si>
  <si>
    <t>S(2,1,1)</t>
  </si>
  <si>
    <t>S(2,1,2)</t>
  </si>
  <si>
    <t>S(2,1,3)</t>
  </si>
  <si>
    <t>S(2,1,4)</t>
  </si>
  <si>
    <t>S(2,1,5)</t>
  </si>
  <si>
    <t>S(2,1,6)</t>
  </si>
  <si>
    <t>S(2,1,7)</t>
  </si>
  <si>
    <t>S(2,1,8)</t>
  </si>
  <si>
    <t>S(2,1,9)</t>
  </si>
  <si>
    <t>S(2,1,10)</t>
  </si>
  <si>
    <t>S(2,2,1)</t>
  </si>
  <si>
    <t>S(2,2,2)</t>
  </si>
  <si>
    <t>S(2,2,3)</t>
  </si>
  <si>
    <t>S(2,2,4)</t>
  </si>
  <si>
    <t>S(2,2,5)</t>
  </si>
  <si>
    <t>S(2,2,6)</t>
  </si>
  <si>
    <t>S(2,2,7)</t>
  </si>
  <si>
    <t>S(2,2,8)</t>
  </si>
  <si>
    <t>S(2,2,9)</t>
  </si>
  <si>
    <t>S(2,2,10)</t>
  </si>
  <si>
    <t>S(3,1,1)</t>
  </si>
  <si>
    <t>S(3,1,2)</t>
  </si>
  <si>
    <t>S(3,1,3)</t>
  </si>
  <si>
    <t>S(3,1,4)</t>
  </si>
  <si>
    <t>S(3,1,5)</t>
  </si>
  <si>
    <t>S(3,1,6)</t>
  </si>
  <si>
    <t>S(3,1,7)</t>
  </si>
  <si>
    <t>S(3,1,8)</t>
  </si>
  <si>
    <t>S(3,1,9)</t>
  </si>
  <si>
    <t>S(3,1,10)</t>
  </si>
  <si>
    <t>S(3,2,1)</t>
  </si>
  <si>
    <t>S(3,2,2)</t>
  </si>
  <si>
    <t>S(3,2,3)</t>
  </si>
  <si>
    <t>S(3,2,4)</t>
  </si>
  <si>
    <t>S(3,2,5)</t>
  </si>
  <si>
    <t>S(3,2,6)</t>
  </si>
  <si>
    <t>S(3,2,7)</t>
  </si>
  <si>
    <t>S(3,2,8)</t>
  </si>
  <si>
    <t>S(3,2,9)</t>
  </si>
  <si>
    <t>S(3,2,10)</t>
  </si>
  <si>
    <t>S(4,1,1)</t>
  </si>
  <si>
    <t>S(4,1,2)</t>
  </si>
  <si>
    <t>S(4,1,3)</t>
  </si>
  <si>
    <t>S(4,1,4)</t>
  </si>
  <si>
    <t>S(4,1,5)</t>
  </si>
  <si>
    <t>S(4,1,6)</t>
  </si>
  <si>
    <t>S(4,1,7)</t>
  </si>
  <si>
    <t>S(4,1,8)</t>
  </si>
  <si>
    <t>S(4,1,9)</t>
  </si>
  <si>
    <t>S(4,1,10)</t>
  </si>
  <si>
    <t>S(4,2,1)</t>
  </si>
  <si>
    <t>S(4,2,2)</t>
  </si>
  <si>
    <t>S(4,2,3)</t>
  </si>
  <si>
    <t>S(4,2,4)</t>
  </si>
  <si>
    <t>S(4,2,5)</t>
  </si>
  <si>
    <t>S(4,2,6)</t>
  </si>
  <si>
    <t>S(4,2,7)</t>
  </si>
  <si>
    <t>S(4,2,8)</t>
  </si>
  <si>
    <t>S(4,2,9)</t>
  </si>
  <si>
    <t>S(4,2,10)</t>
  </si>
  <si>
    <t>S(5,1,1)</t>
  </si>
  <si>
    <t>S(5,1,2)</t>
  </si>
  <si>
    <t>S(5,1,3)</t>
  </si>
  <si>
    <t>S(5,1,4)</t>
  </si>
  <si>
    <t>S(5,1,5)</t>
  </si>
  <si>
    <t>S(5,1,6)</t>
  </si>
  <si>
    <t>S(5,1,7)</t>
  </si>
  <si>
    <t>S(5,1,8)</t>
  </si>
  <si>
    <t>S(5,1,9)</t>
  </si>
  <si>
    <t>S(5,1,10)</t>
  </si>
  <si>
    <t>S(5,2,1)</t>
  </si>
  <si>
    <t>S(5,2,2)</t>
  </si>
  <si>
    <t>S(5,2,3)</t>
  </si>
  <si>
    <t>S(5,2,4)</t>
  </si>
  <si>
    <t>S(5,2,5)</t>
  </si>
  <si>
    <t>S(5,2,6)</t>
  </si>
  <si>
    <t>S(5,2,7)</t>
  </si>
  <si>
    <t>S(5,2,8)</t>
  </si>
  <si>
    <t>S(5,2,9)</t>
  </si>
  <si>
    <t>S(5,2,10)</t>
  </si>
  <si>
    <t>S(6,1,1)</t>
  </si>
  <si>
    <t>S(6,1,2)</t>
  </si>
  <si>
    <t>S(6,1,3)</t>
  </si>
  <si>
    <t>S(6,1,4)</t>
  </si>
  <si>
    <t>S(6,1,5)</t>
  </si>
  <si>
    <t>S(6,1,6)</t>
  </si>
  <si>
    <t>S(6,1,7)</t>
  </si>
  <si>
    <t>S(6,1,8)</t>
  </si>
  <si>
    <t>S(6,1,9)</t>
  </si>
  <si>
    <t>S(6,1,10)</t>
  </si>
  <si>
    <t>S(6,2,1)</t>
  </si>
  <si>
    <t>S(6,2,2)</t>
  </si>
  <si>
    <t>S(6,2,3)</t>
  </si>
  <si>
    <t>S(6,2,4)</t>
  </si>
  <si>
    <t>S(6,2,5)</t>
  </si>
  <si>
    <t>S(6,2,6)</t>
  </si>
  <si>
    <t>S(6,2,7)</t>
  </si>
  <si>
    <t>S(6,2,8)</t>
  </si>
  <si>
    <t>S(6,2,9)</t>
  </si>
  <si>
    <t>S(6,2,10)</t>
  </si>
  <si>
    <t>S(7,1,1)</t>
  </si>
  <si>
    <t>S(7,1,2)</t>
  </si>
  <si>
    <t>S(7,1,3)</t>
  </si>
  <si>
    <t>S(7,1,4)</t>
  </si>
  <si>
    <t>S(7,1,5)</t>
  </si>
  <si>
    <t>S(7,1,6)</t>
  </si>
  <si>
    <t>S(7,1,7)</t>
  </si>
  <si>
    <t>S(7,1,8)</t>
  </si>
  <si>
    <t>S(7,1,9)</t>
  </si>
  <si>
    <t>S(7,1,10)</t>
  </si>
  <si>
    <t>S(7,2,1)</t>
  </si>
  <si>
    <t>S(7,2,2)</t>
  </si>
  <si>
    <t>S(7,2,3)</t>
  </si>
  <si>
    <t>S(7,2,4)</t>
  </si>
  <si>
    <t>S(7,2,5)</t>
  </si>
  <si>
    <t>S(7,2,6)</t>
  </si>
  <si>
    <t>S(7,2,7)</t>
  </si>
  <si>
    <t>S(7,2,8)</t>
  </si>
  <si>
    <t>S(7,2,9)</t>
  </si>
  <si>
    <t>S(7,2,10)</t>
  </si>
  <si>
    <t>S(8,1,1)</t>
  </si>
  <si>
    <t>S(8,1,2)</t>
  </si>
  <si>
    <t>S(8,1,3)</t>
  </si>
  <si>
    <t>S(8,1,4)</t>
  </si>
  <si>
    <t>S(8,1,5)</t>
  </si>
  <si>
    <t>S(8,1,6)</t>
  </si>
  <si>
    <t>S(8,1,7)</t>
  </si>
  <si>
    <t>S(8,1,8)</t>
  </si>
  <si>
    <t>S(8,1,9)</t>
  </si>
  <si>
    <t>S(8,1,10)</t>
  </si>
  <si>
    <t>S(8,2,1)</t>
  </si>
  <si>
    <t>S(8,2,2)</t>
  </si>
  <si>
    <t>S(8,2,3)</t>
  </si>
  <si>
    <t>S(8,2,4)</t>
  </si>
  <si>
    <t>S(8,2,5)</t>
  </si>
  <si>
    <t>S(8,2,6)</t>
  </si>
  <si>
    <t>S(8,2,7)</t>
  </si>
  <si>
    <t>S(8,2,8)</t>
  </si>
  <si>
    <t>S(8,2,9)</t>
  </si>
  <si>
    <t>S(8,2,10)</t>
  </si>
  <si>
    <t>S(9,1,1)</t>
  </si>
  <si>
    <t>S(9,1,2)</t>
  </si>
  <si>
    <t>S(9,1,3)</t>
  </si>
  <si>
    <t>S(9,1,4)</t>
  </si>
  <si>
    <t>S(9,1,5)</t>
  </si>
  <si>
    <t>S(9,1,6)</t>
  </si>
  <si>
    <t>S(9,1,7)</t>
  </si>
  <si>
    <t>S(9,1,8)</t>
  </si>
  <si>
    <t>S(9,1,9)</t>
  </si>
  <si>
    <t>S(9,1,10)</t>
  </si>
  <si>
    <t>S(9,2,1)</t>
  </si>
  <si>
    <t>S(9,2,2)</t>
  </si>
  <si>
    <t>S(9,2,3)</t>
  </si>
  <si>
    <t>S(9,2,4)</t>
  </si>
  <si>
    <t>S(9,2,5)</t>
  </si>
  <si>
    <t>S(9,2,6)</t>
  </si>
  <si>
    <t>S(9,2,7)</t>
  </si>
  <si>
    <t>S(9,2,8)</t>
  </si>
  <si>
    <t>S(9,2,9)</t>
  </si>
  <si>
    <t>S(9,2,10)</t>
  </si>
  <si>
    <t>S(10,1,1)</t>
  </si>
  <si>
    <t>S(10,1,2)</t>
  </si>
  <si>
    <t>S(10,1,3)</t>
  </si>
  <si>
    <t>S(10,1,4)</t>
  </si>
  <si>
    <t>S(10,1,5)</t>
  </si>
  <si>
    <t>S(10,1,6)</t>
  </si>
  <si>
    <t>S(10,1,7)</t>
  </si>
  <si>
    <t>S(10,1,8)</t>
  </si>
  <si>
    <t>S(10,1,9)</t>
  </si>
  <si>
    <t>S(10,1,10)</t>
  </si>
  <si>
    <t>S(10,2,1)</t>
  </si>
  <si>
    <t>S(10,2,2)</t>
  </si>
  <si>
    <t>S(10,2,3)</t>
  </si>
  <si>
    <t>S(10,2,4)</t>
  </si>
  <si>
    <t>S(10,2,5)</t>
  </si>
  <si>
    <t>S(10,2,6)</t>
  </si>
  <si>
    <t>S(10,2,7)</t>
  </si>
  <si>
    <t>S(10,2,8)</t>
  </si>
  <si>
    <t>S(10,2,9)</t>
  </si>
  <si>
    <t>S(10,2,10)</t>
  </si>
  <si>
    <t>Apartamentos:</t>
  </si>
  <si>
    <t>Blocos: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</si>
</sst>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99A1-195E-480C-9A44-A67E55A58388}">
  <sheetPr codeName="Planilha1"/>
  <dimension ref="A1:K21"/>
  <sheetViews>
    <sheetView tabSelected="1" workbookViewId="0"/>
  </sheetViews>
  <sheetFormatPr defaultRowHeight="15" x14ac:dyDescent="0.25"/>
  <cols>
    <col min="1" max="1" width="12.7109375" bestFit="1" customWidth="1"/>
    <col min="2" max="3" width="5.85546875" bestFit="1" customWidth="1"/>
    <col min="4" max="4" width="15.7109375" bestFit="1" customWidth="1"/>
    <col min="5" max="5" width="9" bestFit="1" customWidth="1"/>
    <col min="6" max="6" width="13.140625" bestFit="1" customWidth="1"/>
    <col min="7" max="7" width="9" bestFit="1" customWidth="1"/>
    <col min="8" max="8" width="5.85546875" bestFit="1" customWidth="1"/>
    <col min="10" max="10" width="14.28515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t="s">
        <v>214</v>
      </c>
      <c r="K1">
        <v>10</v>
      </c>
    </row>
    <row r="2" spans="1:1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5</v>
      </c>
      <c r="J2" t="s">
        <v>215</v>
      </c>
      <c r="K2">
        <v>2</v>
      </c>
    </row>
    <row r="3" spans="1:11" x14ac:dyDescent="0.25">
      <c r="A3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5</v>
      </c>
    </row>
    <row r="4" spans="1:11" x14ac:dyDescent="0.25">
      <c r="A4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5</v>
      </c>
    </row>
    <row r="5" spans="1:11" x14ac:dyDescent="0.25">
      <c r="A5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5</v>
      </c>
    </row>
    <row r="6" spans="1:11" x14ac:dyDescent="0.25">
      <c r="A6">
        <v>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5</v>
      </c>
    </row>
    <row r="7" spans="1:11" x14ac:dyDescent="0.25">
      <c r="A7">
        <v>6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5</v>
      </c>
    </row>
    <row r="8" spans="1:11" x14ac:dyDescent="0.25">
      <c r="A8">
        <v>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5</v>
      </c>
    </row>
    <row r="9" spans="1:11" x14ac:dyDescent="0.25">
      <c r="A9">
        <v>8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5</v>
      </c>
    </row>
    <row r="10" spans="1:11" x14ac:dyDescent="0.25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5</v>
      </c>
    </row>
    <row r="11" spans="1:11" x14ac:dyDescent="0.25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5</v>
      </c>
    </row>
    <row r="12" spans="1:11" x14ac:dyDescent="0.25">
      <c r="A12">
        <v>1</v>
      </c>
      <c r="B12">
        <v>2</v>
      </c>
      <c r="C12">
        <v>1</v>
      </c>
      <c r="D12">
        <v>1</v>
      </c>
      <c r="E12">
        <v>1</v>
      </c>
      <c r="F12">
        <v>1</v>
      </c>
      <c r="G12">
        <v>1</v>
      </c>
      <c r="H12">
        <v>5</v>
      </c>
    </row>
    <row r="13" spans="1:11" x14ac:dyDescent="0.25">
      <c r="A13">
        <v>2</v>
      </c>
      <c r="B13">
        <v>2</v>
      </c>
      <c r="C13">
        <v>1</v>
      </c>
      <c r="D13">
        <v>1</v>
      </c>
      <c r="E13">
        <v>1</v>
      </c>
      <c r="F13">
        <v>1</v>
      </c>
      <c r="G13">
        <v>1</v>
      </c>
      <c r="H13">
        <v>5</v>
      </c>
    </row>
    <row r="14" spans="1:11" x14ac:dyDescent="0.25">
      <c r="A14">
        <v>3</v>
      </c>
      <c r="B14">
        <v>2</v>
      </c>
      <c r="C14">
        <v>1</v>
      </c>
      <c r="D14">
        <v>1</v>
      </c>
      <c r="E14">
        <v>1</v>
      </c>
      <c r="F14">
        <v>1</v>
      </c>
      <c r="G14">
        <v>1</v>
      </c>
      <c r="H14">
        <v>5</v>
      </c>
    </row>
    <row r="15" spans="1:11" x14ac:dyDescent="0.25">
      <c r="A15">
        <v>4</v>
      </c>
      <c r="B15">
        <v>2</v>
      </c>
      <c r="C15">
        <v>1</v>
      </c>
      <c r="D15">
        <v>1</v>
      </c>
      <c r="E15">
        <v>1</v>
      </c>
      <c r="F15">
        <v>1</v>
      </c>
      <c r="G15">
        <v>1</v>
      </c>
      <c r="H15">
        <v>5</v>
      </c>
    </row>
    <row r="16" spans="1:11" x14ac:dyDescent="0.25">
      <c r="A16">
        <v>5</v>
      </c>
      <c r="B16">
        <v>2</v>
      </c>
      <c r="C16">
        <v>1</v>
      </c>
      <c r="D16">
        <v>1</v>
      </c>
      <c r="E16">
        <v>1</v>
      </c>
      <c r="F16">
        <v>1</v>
      </c>
      <c r="G16">
        <v>1</v>
      </c>
      <c r="H16">
        <v>5</v>
      </c>
    </row>
    <row r="17" spans="1:8" x14ac:dyDescent="0.25">
      <c r="A17">
        <v>6</v>
      </c>
      <c r="B17">
        <v>2</v>
      </c>
      <c r="C17">
        <v>1</v>
      </c>
      <c r="D17">
        <v>1</v>
      </c>
      <c r="E17">
        <v>1</v>
      </c>
      <c r="F17">
        <v>1</v>
      </c>
      <c r="G17">
        <v>1</v>
      </c>
      <c r="H17">
        <v>5</v>
      </c>
    </row>
    <row r="18" spans="1:8" x14ac:dyDescent="0.25">
      <c r="A18">
        <v>7</v>
      </c>
      <c r="B18">
        <v>2</v>
      </c>
      <c r="C18">
        <v>1</v>
      </c>
      <c r="D18">
        <v>1</v>
      </c>
      <c r="E18">
        <v>1</v>
      </c>
      <c r="F18">
        <v>1</v>
      </c>
      <c r="G18">
        <v>1</v>
      </c>
      <c r="H18">
        <v>5</v>
      </c>
    </row>
    <row r="19" spans="1:8" x14ac:dyDescent="0.25">
      <c r="A19">
        <v>8</v>
      </c>
      <c r="B19">
        <v>2</v>
      </c>
      <c r="C19">
        <v>1</v>
      </c>
      <c r="D19">
        <v>1</v>
      </c>
      <c r="E19">
        <v>1</v>
      </c>
      <c r="F19">
        <v>1</v>
      </c>
      <c r="G19">
        <v>1</v>
      </c>
      <c r="H19">
        <v>5</v>
      </c>
    </row>
    <row r="20" spans="1:8" x14ac:dyDescent="0.25">
      <c r="A20">
        <v>9</v>
      </c>
      <c r="B20">
        <v>2</v>
      </c>
      <c r="C20">
        <v>1</v>
      </c>
      <c r="D20">
        <v>1</v>
      </c>
      <c r="E20">
        <v>1</v>
      </c>
      <c r="F20">
        <v>1</v>
      </c>
      <c r="G20">
        <v>1</v>
      </c>
      <c r="H20">
        <v>5</v>
      </c>
    </row>
    <row r="21" spans="1:8" x14ac:dyDescent="0.25">
      <c r="A21">
        <v>10</v>
      </c>
      <c r="B21">
        <v>2</v>
      </c>
      <c r="C21">
        <v>1</v>
      </c>
      <c r="D21">
        <v>1</v>
      </c>
      <c r="E21">
        <v>1</v>
      </c>
      <c r="F21">
        <v>1</v>
      </c>
      <c r="G21">
        <v>1</v>
      </c>
      <c r="H21">
        <v>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FE19D-36A9-427B-8307-405DB1A0996D}">
  <sheetPr codeName="Planilha2"/>
  <dimension ref="A1:F21"/>
  <sheetViews>
    <sheetView workbookViewId="0"/>
  </sheetViews>
  <sheetFormatPr defaultRowHeight="15" x14ac:dyDescent="0.25"/>
  <cols>
    <col min="1" max="1" width="5.7109375" bestFit="1" customWidth="1"/>
    <col min="2" max="2" width="5.85546875" bestFit="1" customWidth="1"/>
    <col min="3" max="3" width="9" bestFit="1" customWidth="1"/>
    <col min="4" max="4" width="27" bestFit="1" customWidth="1"/>
    <col min="5" max="5" width="10.5703125" bestFit="1" customWidth="1"/>
    <col min="6" max="6" width="5.85546875" bestFit="1" customWidth="1"/>
  </cols>
  <sheetData>
    <row r="1" spans="1:6" x14ac:dyDescent="0.25">
      <c r="A1" t="s">
        <v>8</v>
      </c>
      <c r="B1" t="s">
        <v>1</v>
      </c>
      <c r="C1" t="s">
        <v>6</v>
      </c>
      <c r="D1" t="s">
        <v>9</v>
      </c>
      <c r="E1" t="s">
        <v>10</v>
      </c>
      <c r="F1" t="s">
        <v>7</v>
      </c>
    </row>
    <row r="2" spans="1:6" x14ac:dyDescent="0.25">
      <c r="A2">
        <v>1</v>
      </c>
      <c r="B2">
        <v>1</v>
      </c>
      <c r="C2">
        <v>2</v>
      </c>
      <c r="D2">
        <v>1</v>
      </c>
      <c r="E2">
        <v>1</v>
      </c>
      <c r="F2">
        <f t="shared" ref="F2:F11" si="0">SUM(C2:E2)</f>
        <v>4</v>
      </c>
    </row>
    <row r="3" spans="1:6" x14ac:dyDescent="0.25">
      <c r="A3">
        <v>2</v>
      </c>
      <c r="B3">
        <v>1</v>
      </c>
      <c r="C3">
        <v>3</v>
      </c>
      <c r="D3">
        <v>1</v>
      </c>
      <c r="E3">
        <v>1</v>
      </c>
      <c r="F3">
        <f t="shared" si="0"/>
        <v>5</v>
      </c>
    </row>
    <row r="4" spans="1:6" x14ac:dyDescent="0.25">
      <c r="A4">
        <v>3</v>
      </c>
      <c r="B4">
        <v>1</v>
      </c>
      <c r="C4">
        <v>4</v>
      </c>
      <c r="D4">
        <v>1</v>
      </c>
      <c r="E4">
        <v>1</v>
      </c>
      <c r="F4">
        <f t="shared" si="0"/>
        <v>6</v>
      </c>
    </row>
    <row r="5" spans="1:6" x14ac:dyDescent="0.25">
      <c r="A5">
        <v>4</v>
      </c>
      <c r="B5">
        <v>1</v>
      </c>
      <c r="C5">
        <v>5</v>
      </c>
      <c r="D5">
        <v>1</v>
      </c>
      <c r="E5">
        <v>1</v>
      </c>
      <c r="F5">
        <f t="shared" si="0"/>
        <v>7</v>
      </c>
    </row>
    <row r="6" spans="1:6" x14ac:dyDescent="0.25">
      <c r="A6">
        <v>5</v>
      </c>
      <c r="B6">
        <v>1</v>
      </c>
      <c r="C6">
        <v>6</v>
      </c>
      <c r="D6">
        <v>1</v>
      </c>
      <c r="E6">
        <v>1</v>
      </c>
      <c r="F6">
        <f t="shared" si="0"/>
        <v>8</v>
      </c>
    </row>
    <row r="7" spans="1:6" x14ac:dyDescent="0.25">
      <c r="A7">
        <v>6</v>
      </c>
      <c r="B7">
        <v>1</v>
      </c>
      <c r="C7">
        <v>5</v>
      </c>
      <c r="D7">
        <v>1</v>
      </c>
      <c r="E7">
        <v>1</v>
      </c>
      <c r="F7">
        <f t="shared" si="0"/>
        <v>7</v>
      </c>
    </row>
    <row r="8" spans="1:6" x14ac:dyDescent="0.25">
      <c r="A8">
        <v>7</v>
      </c>
      <c r="B8">
        <v>1</v>
      </c>
      <c r="C8">
        <v>4</v>
      </c>
      <c r="D8">
        <v>1</v>
      </c>
      <c r="E8">
        <v>1</v>
      </c>
      <c r="F8">
        <f t="shared" si="0"/>
        <v>6</v>
      </c>
    </row>
    <row r="9" spans="1:6" x14ac:dyDescent="0.25">
      <c r="A9">
        <v>8</v>
      </c>
      <c r="B9">
        <v>1</v>
      </c>
      <c r="C9">
        <v>3</v>
      </c>
      <c r="D9">
        <v>1</v>
      </c>
      <c r="E9">
        <v>1</v>
      </c>
      <c r="F9">
        <f t="shared" si="0"/>
        <v>5</v>
      </c>
    </row>
    <row r="10" spans="1:6" x14ac:dyDescent="0.25">
      <c r="A10">
        <v>9</v>
      </c>
      <c r="B10">
        <v>1</v>
      </c>
      <c r="C10">
        <v>2</v>
      </c>
      <c r="D10">
        <v>1</v>
      </c>
      <c r="E10">
        <v>1</v>
      </c>
      <c r="F10">
        <f t="shared" si="0"/>
        <v>4</v>
      </c>
    </row>
    <row r="11" spans="1:6" x14ac:dyDescent="0.25">
      <c r="A11">
        <v>10</v>
      </c>
      <c r="B11">
        <v>1</v>
      </c>
      <c r="C11">
        <v>1</v>
      </c>
      <c r="D11">
        <v>1</v>
      </c>
      <c r="E11">
        <v>1</v>
      </c>
      <c r="F11">
        <f t="shared" si="0"/>
        <v>3</v>
      </c>
    </row>
    <row r="12" spans="1:6" x14ac:dyDescent="0.25">
      <c r="A12">
        <v>1</v>
      </c>
      <c r="B12">
        <v>2</v>
      </c>
      <c r="C12">
        <v>2</v>
      </c>
      <c r="D12">
        <v>1</v>
      </c>
      <c r="E12">
        <v>1</v>
      </c>
      <c r="F12">
        <f t="shared" ref="F12:F21" si="1">SUM(C12:E12)</f>
        <v>4</v>
      </c>
    </row>
    <row r="13" spans="1:6" x14ac:dyDescent="0.25">
      <c r="A13">
        <v>2</v>
      </c>
      <c r="B13">
        <v>2</v>
      </c>
      <c r="C13">
        <v>3</v>
      </c>
      <c r="D13">
        <v>1</v>
      </c>
      <c r="E13">
        <v>1</v>
      </c>
      <c r="F13">
        <f t="shared" si="1"/>
        <v>5</v>
      </c>
    </row>
    <row r="14" spans="1:6" x14ac:dyDescent="0.25">
      <c r="A14">
        <v>3</v>
      </c>
      <c r="B14">
        <v>2</v>
      </c>
      <c r="C14">
        <v>4</v>
      </c>
      <c r="D14">
        <v>1</v>
      </c>
      <c r="E14">
        <v>1</v>
      </c>
      <c r="F14">
        <f t="shared" si="1"/>
        <v>6</v>
      </c>
    </row>
    <row r="15" spans="1:6" x14ac:dyDescent="0.25">
      <c r="A15">
        <v>4</v>
      </c>
      <c r="B15">
        <v>2</v>
      </c>
      <c r="C15">
        <v>5</v>
      </c>
      <c r="D15">
        <v>1</v>
      </c>
      <c r="E15">
        <v>1</v>
      </c>
      <c r="F15">
        <f t="shared" si="1"/>
        <v>7</v>
      </c>
    </row>
    <row r="16" spans="1:6" x14ac:dyDescent="0.25">
      <c r="A16">
        <v>5</v>
      </c>
      <c r="B16">
        <v>2</v>
      </c>
      <c r="C16">
        <v>6</v>
      </c>
      <c r="D16">
        <v>1</v>
      </c>
      <c r="E16">
        <v>1</v>
      </c>
      <c r="F16">
        <f t="shared" si="1"/>
        <v>8</v>
      </c>
    </row>
    <row r="17" spans="1:6" x14ac:dyDescent="0.25">
      <c r="A17">
        <v>6</v>
      </c>
      <c r="B17">
        <v>2</v>
      </c>
      <c r="C17">
        <v>5</v>
      </c>
      <c r="D17">
        <v>1</v>
      </c>
      <c r="E17">
        <v>1</v>
      </c>
      <c r="F17">
        <f t="shared" si="1"/>
        <v>7</v>
      </c>
    </row>
    <row r="18" spans="1:6" x14ac:dyDescent="0.25">
      <c r="A18">
        <v>7</v>
      </c>
      <c r="B18">
        <v>2</v>
      </c>
      <c r="C18">
        <v>4</v>
      </c>
      <c r="D18">
        <v>1</v>
      </c>
      <c r="E18">
        <v>1</v>
      </c>
      <c r="F18">
        <f t="shared" si="1"/>
        <v>6</v>
      </c>
    </row>
    <row r="19" spans="1:6" x14ac:dyDescent="0.25">
      <c r="A19">
        <v>8</v>
      </c>
      <c r="B19">
        <v>2</v>
      </c>
      <c r="C19">
        <v>3</v>
      </c>
      <c r="D19">
        <v>1</v>
      </c>
      <c r="E19">
        <v>1</v>
      </c>
      <c r="F19">
        <f t="shared" si="1"/>
        <v>5</v>
      </c>
    </row>
    <row r="20" spans="1:6" x14ac:dyDescent="0.25">
      <c r="A20">
        <v>9</v>
      </c>
      <c r="B20">
        <v>2</v>
      </c>
      <c r="C20">
        <v>2</v>
      </c>
      <c r="D20">
        <v>1</v>
      </c>
      <c r="E20">
        <v>1</v>
      </c>
      <c r="F20">
        <f t="shared" si="1"/>
        <v>4</v>
      </c>
    </row>
    <row r="21" spans="1:6" x14ac:dyDescent="0.25">
      <c r="A21">
        <v>10</v>
      </c>
      <c r="B21">
        <v>2</v>
      </c>
      <c r="C21">
        <v>1</v>
      </c>
      <c r="D21">
        <v>1</v>
      </c>
      <c r="E21">
        <v>1</v>
      </c>
      <c r="F21">
        <f t="shared" si="1"/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F17F8-9D6D-4C68-8CF5-1EB853C8CF68}">
  <sheetPr codeName="Planilha4"/>
  <dimension ref="E1:E542"/>
  <sheetViews>
    <sheetView workbookViewId="0">
      <selection activeCell="E1" sqref="E1"/>
    </sheetView>
  </sheetViews>
  <sheetFormatPr defaultRowHeight="15" x14ac:dyDescent="0.25"/>
  <sheetData>
    <row r="1" spans="5:5" x14ac:dyDescent="0.25">
      <c r="E1">
        <v>1</v>
      </c>
    </row>
    <row r="2" spans="5:5" x14ac:dyDescent="0.25">
      <c r="E2">
        <v>1</v>
      </c>
    </row>
    <row r="3" spans="5:5" x14ac:dyDescent="0.25">
      <c r="E3">
        <v>1</v>
      </c>
    </row>
    <row r="4" spans="5:5" x14ac:dyDescent="0.25">
      <c r="E4">
        <v>1</v>
      </c>
    </row>
    <row r="5" spans="5:5" x14ac:dyDescent="0.25">
      <c r="E5">
        <v>1</v>
      </c>
    </row>
    <row r="6" spans="5:5" x14ac:dyDescent="0.25">
      <c r="E6">
        <v>1</v>
      </c>
    </row>
    <row r="7" spans="5:5" x14ac:dyDescent="0.25">
      <c r="E7">
        <v>1</v>
      </c>
    </row>
    <row r="8" spans="5:5" x14ac:dyDescent="0.25">
      <c r="E8">
        <v>1</v>
      </c>
    </row>
    <row r="9" spans="5:5" x14ac:dyDescent="0.25">
      <c r="E9">
        <v>1</v>
      </c>
    </row>
    <row r="10" spans="5:5" x14ac:dyDescent="0.25">
      <c r="E10">
        <v>1</v>
      </c>
    </row>
    <row r="11" spans="5:5" x14ac:dyDescent="0.25">
      <c r="E11">
        <v>1</v>
      </c>
    </row>
    <row r="12" spans="5:5" x14ac:dyDescent="0.25">
      <c r="E12">
        <v>1</v>
      </c>
    </row>
    <row r="13" spans="5:5" x14ac:dyDescent="0.25">
      <c r="E13">
        <v>1</v>
      </c>
    </row>
    <row r="14" spans="5:5" x14ac:dyDescent="0.25">
      <c r="E14">
        <v>1</v>
      </c>
    </row>
    <row r="15" spans="5:5" x14ac:dyDescent="0.25">
      <c r="E15">
        <v>1</v>
      </c>
    </row>
    <row r="16" spans="5:5" x14ac:dyDescent="0.25">
      <c r="E16">
        <v>1</v>
      </c>
    </row>
    <row r="17" spans="5:5" x14ac:dyDescent="0.25">
      <c r="E17">
        <v>1</v>
      </c>
    </row>
    <row r="18" spans="5:5" x14ac:dyDescent="0.25">
      <c r="E18">
        <v>1</v>
      </c>
    </row>
    <row r="19" spans="5:5" x14ac:dyDescent="0.25">
      <c r="E19">
        <v>1</v>
      </c>
    </row>
    <row r="20" spans="5:5" x14ac:dyDescent="0.25">
      <c r="E20">
        <v>1</v>
      </c>
    </row>
    <row r="21" spans="5:5" x14ac:dyDescent="0.25">
      <c r="E21">
        <v>1</v>
      </c>
    </row>
    <row r="22" spans="5:5" x14ac:dyDescent="0.25">
      <c r="E22">
        <v>1</v>
      </c>
    </row>
    <row r="23" spans="5:5" x14ac:dyDescent="0.25">
      <c r="E23">
        <v>1</v>
      </c>
    </row>
    <row r="24" spans="5:5" x14ac:dyDescent="0.25">
      <c r="E24">
        <v>1</v>
      </c>
    </row>
    <row r="25" spans="5:5" x14ac:dyDescent="0.25">
      <c r="E25">
        <v>1</v>
      </c>
    </row>
    <row r="26" spans="5:5" x14ac:dyDescent="0.25">
      <c r="E26">
        <v>1</v>
      </c>
    </row>
    <row r="27" spans="5:5" x14ac:dyDescent="0.25">
      <c r="E27">
        <v>1</v>
      </c>
    </row>
    <row r="28" spans="5:5" x14ac:dyDescent="0.25">
      <c r="E28">
        <v>1</v>
      </c>
    </row>
    <row r="29" spans="5:5" x14ac:dyDescent="0.25">
      <c r="E29">
        <v>1</v>
      </c>
    </row>
    <row r="30" spans="5:5" x14ac:dyDescent="0.25">
      <c r="E30">
        <v>1</v>
      </c>
    </row>
    <row r="31" spans="5:5" x14ac:dyDescent="0.25">
      <c r="E31">
        <v>1</v>
      </c>
    </row>
    <row r="32" spans="5:5" x14ac:dyDescent="0.25">
      <c r="E32">
        <v>1</v>
      </c>
    </row>
    <row r="33" spans="5:5" x14ac:dyDescent="0.25">
      <c r="E33">
        <v>1</v>
      </c>
    </row>
    <row r="34" spans="5:5" x14ac:dyDescent="0.25">
      <c r="E34">
        <v>1</v>
      </c>
    </row>
    <row r="35" spans="5:5" x14ac:dyDescent="0.25">
      <c r="E35">
        <v>1</v>
      </c>
    </row>
    <row r="36" spans="5:5" x14ac:dyDescent="0.25">
      <c r="E36">
        <v>1</v>
      </c>
    </row>
    <row r="37" spans="5:5" x14ac:dyDescent="0.25">
      <c r="E37">
        <v>1</v>
      </c>
    </row>
    <row r="38" spans="5:5" x14ac:dyDescent="0.25">
      <c r="E38">
        <v>1</v>
      </c>
    </row>
    <row r="39" spans="5:5" x14ac:dyDescent="0.25">
      <c r="E39">
        <v>1</v>
      </c>
    </row>
    <row r="40" spans="5:5" x14ac:dyDescent="0.25">
      <c r="E40">
        <v>1</v>
      </c>
    </row>
    <row r="41" spans="5:5" x14ac:dyDescent="0.25">
      <c r="E41">
        <v>1</v>
      </c>
    </row>
    <row r="42" spans="5:5" x14ac:dyDescent="0.25">
      <c r="E42">
        <v>1</v>
      </c>
    </row>
    <row r="43" spans="5:5" x14ac:dyDescent="0.25">
      <c r="E43">
        <v>1</v>
      </c>
    </row>
    <row r="44" spans="5:5" x14ac:dyDescent="0.25">
      <c r="E44">
        <v>1</v>
      </c>
    </row>
    <row r="45" spans="5:5" x14ac:dyDescent="0.25">
      <c r="E45">
        <v>1</v>
      </c>
    </row>
    <row r="46" spans="5:5" x14ac:dyDescent="0.25">
      <c r="E46">
        <v>1</v>
      </c>
    </row>
    <row r="47" spans="5:5" x14ac:dyDescent="0.25">
      <c r="E47">
        <v>1</v>
      </c>
    </row>
    <row r="48" spans="5:5" x14ac:dyDescent="0.25">
      <c r="E48">
        <v>1</v>
      </c>
    </row>
    <row r="49" spans="5:5" x14ac:dyDescent="0.25">
      <c r="E49">
        <v>1</v>
      </c>
    </row>
    <row r="50" spans="5:5" x14ac:dyDescent="0.25">
      <c r="E50">
        <v>1</v>
      </c>
    </row>
    <row r="51" spans="5:5" x14ac:dyDescent="0.25">
      <c r="E51">
        <v>1</v>
      </c>
    </row>
    <row r="52" spans="5:5" x14ac:dyDescent="0.25">
      <c r="E52">
        <v>1</v>
      </c>
    </row>
    <row r="53" spans="5:5" x14ac:dyDescent="0.25">
      <c r="E53">
        <v>1</v>
      </c>
    </row>
    <row r="54" spans="5:5" x14ac:dyDescent="0.25">
      <c r="E54">
        <v>1</v>
      </c>
    </row>
    <row r="55" spans="5:5" x14ac:dyDescent="0.25">
      <c r="E55">
        <v>1</v>
      </c>
    </row>
    <row r="56" spans="5:5" x14ac:dyDescent="0.25">
      <c r="E56">
        <v>1</v>
      </c>
    </row>
    <row r="57" spans="5:5" x14ac:dyDescent="0.25">
      <c r="E57">
        <v>1</v>
      </c>
    </row>
    <row r="58" spans="5:5" x14ac:dyDescent="0.25">
      <c r="E58">
        <v>1</v>
      </c>
    </row>
    <row r="59" spans="5:5" x14ac:dyDescent="0.25">
      <c r="E59">
        <v>1</v>
      </c>
    </row>
    <row r="60" spans="5:5" x14ac:dyDescent="0.25">
      <c r="E60">
        <v>1</v>
      </c>
    </row>
    <row r="61" spans="5:5" x14ac:dyDescent="0.25">
      <c r="E61">
        <v>1</v>
      </c>
    </row>
    <row r="62" spans="5:5" x14ac:dyDescent="0.25">
      <c r="E62">
        <v>1</v>
      </c>
    </row>
    <row r="63" spans="5:5" x14ac:dyDescent="0.25">
      <c r="E63">
        <v>1</v>
      </c>
    </row>
    <row r="64" spans="5:5" x14ac:dyDescent="0.25">
      <c r="E64">
        <v>1</v>
      </c>
    </row>
    <row r="65" spans="5:5" x14ac:dyDescent="0.25">
      <c r="E65">
        <v>1</v>
      </c>
    </row>
    <row r="66" spans="5:5" x14ac:dyDescent="0.25">
      <c r="E66">
        <v>1</v>
      </c>
    </row>
    <row r="67" spans="5:5" x14ac:dyDescent="0.25">
      <c r="E67">
        <v>1</v>
      </c>
    </row>
    <row r="68" spans="5:5" x14ac:dyDescent="0.25">
      <c r="E68">
        <v>1</v>
      </c>
    </row>
    <row r="69" spans="5:5" x14ac:dyDescent="0.25">
      <c r="E69">
        <v>1</v>
      </c>
    </row>
    <row r="70" spans="5:5" x14ac:dyDescent="0.25">
      <c r="E70">
        <v>1</v>
      </c>
    </row>
    <row r="71" spans="5:5" x14ac:dyDescent="0.25">
      <c r="E71">
        <v>1</v>
      </c>
    </row>
    <row r="72" spans="5:5" x14ac:dyDescent="0.25">
      <c r="E72">
        <v>1</v>
      </c>
    </row>
    <row r="73" spans="5:5" x14ac:dyDescent="0.25">
      <c r="E73">
        <v>1</v>
      </c>
    </row>
    <row r="74" spans="5:5" x14ac:dyDescent="0.25">
      <c r="E74">
        <v>1</v>
      </c>
    </row>
    <row r="75" spans="5:5" x14ac:dyDescent="0.25">
      <c r="E75">
        <v>1</v>
      </c>
    </row>
    <row r="76" spans="5:5" x14ac:dyDescent="0.25">
      <c r="E76">
        <v>1</v>
      </c>
    </row>
    <row r="77" spans="5:5" x14ac:dyDescent="0.25">
      <c r="E77">
        <v>1</v>
      </c>
    </row>
    <row r="78" spans="5:5" x14ac:dyDescent="0.25">
      <c r="E78">
        <v>1</v>
      </c>
    </row>
    <row r="79" spans="5:5" x14ac:dyDescent="0.25">
      <c r="E79">
        <v>1</v>
      </c>
    </row>
    <row r="80" spans="5:5" x14ac:dyDescent="0.25">
      <c r="E80">
        <v>1</v>
      </c>
    </row>
    <row r="81" spans="5:5" x14ac:dyDescent="0.25">
      <c r="E81">
        <v>1</v>
      </c>
    </row>
    <row r="82" spans="5:5" x14ac:dyDescent="0.25">
      <c r="E82">
        <v>1</v>
      </c>
    </row>
    <row r="83" spans="5:5" x14ac:dyDescent="0.25">
      <c r="E83">
        <v>1</v>
      </c>
    </row>
    <row r="84" spans="5:5" x14ac:dyDescent="0.25">
      <c r="E84">
        <v>1</v>
      </c>
    </row>
    <row r="85" spans="5:5" x14ac:dyDescent="0.25">
      <c r="E85">
        <v>1</v>
      </c>
    </row>
    <row r="86" spans="5:5" x14ac:dyDescent="0.25">
      <c r="E86">
        <v>1</v>
      </c>
    </row>
    <row r="87" spans="5:5" x14ac:dyDescent="0.25">
      <c r="E87">
        <v>1</v>
      </c>
    </row>
    <row r="88" spans="5:5" x14ac:dyDescent="0.25">
      <c r="E88">
        <v>1</v>
      </c>
    </row>
    <row r="89" spans="5:5" x14ac:dyDescent="0.25">
      <c r="E89">
        <v>1</v>
      </c>
    </row>
    <row r="90" spans="5:5" x14ac:dyDescent="0.25">
      <c r="E90">
        <v>1</v>
      </c>
    </row>
    <row r="91" spans="5:5" x14ac:dyDescent="0.25">
      <c r="E91">
        <v>1</v>
      </c>
    </row>
    <row r="92" spans="5:5" x14ac:dyDescent="0.25">
      <c r="E92">
        <v>1</v>
      </c>
    </row>
    <row r="93" spans="5:5" x14ac:dyDescent="0.25">
      <c r="E93">
        <v>1</v>
      </c>
    </row>
    <row r="94" spans="5:5" x14ac:dyDescent="0.25">
      <c r="E94">
        <v>1</v>
      </c>
    </row>
    <row r="95" spans="5:5" x14ac:dyDescent="0.25">
      <c r="E95">
        <v>1</v>
      </c>
    </row>
    <row r="96" spans="5:5" x14ac:dyDescent="0.25">
      <c r="E96">
        <v>1</v>
      </c>
    </row>
    <row r="97" spans="5:5" x14ac:dyDescent="0.25">
      <c r="E97">
        <v>1</v>
      </c>
    </row>
    <row r="98" spans="5:5" x14ac:dyDescent="0.25">
      <c r="E98">
        <v>1</v>
      </c>
    </row>
    <row r="99" spans="5:5" x14ac:dyDescent="0.25">
      <c r="E99">
        <v>1</v>
      </c>
    </row>
    <row r="100" spans="5:5" x14ac:dyDescent="0.25">
      <c r="E100">
        <v>1</v>
      </c>
    </row>
    <row r="101" spans="5:5" x14ac:dyDescent="0.25">
      <c r="E101">
        <v>1</v>
      </c>
    </row>
    <row r="102" spans="5:5" x14ac:dyDescent="0.25">
      <c r="E102">
        <v>1</v>
      </c>
    </row>
    <row r="103" spans="5:5" x14ac:dyDescent="0.25">
      <c r="E103">
        <v>1</v>
      </c>
    </row>
    <row r="104" spans="5:5" x14ac:dyDescent="0.25">
      <c r="E104">
        <v>1</v>
      </c>
    </row>
    <row r="105" spans="5:5" x14ac:dyDescent="0.25">
      <c r="E105">
        <v>1</v>
      </c>
    </row>
    <row r="106" spans="5:5" x14ac:dyDescent="0.25">
      <c r="E106">
        <v>1</v>
      </c>
    </row>
    <row r="107" spans="5:5" x14ac:dyDescent="0.25">
      <c r="E107">
        <v>1</v>
      </c>
    </row>
    <row r="108" spans="5:5" x14ac:dyDescent="0.25">
      <c r="E108">
        <v>1</v>
      </c>
    </row>
    <row r="109" spans="5:5" x14ac:dyDescent="0.25">
      <c r="E109">
        <v>1</v>
      </c>
    </row>
    <row r="110" spans="5:5" x14ac:dyDescent="0.25">
      <c r="E110">
        <v>1</v>
      </c>
    </row>
    <row r="111" spans="5:5" x14ac:dyDescent="0.25">
      <c r="E111">
        <v>1</v>
      </c>
    </row>
    <row r="112" spans="5:5" x14ac:dyDescent="0.25">
      <c r="E112">
        <v>1</v>
      </c>
    </row>
    <row r="113" spans="5:5" x14ac:dyDescent="0.25">
      <c r="E113">
        <v>1</v>
      </c>
    </row>
    <row r="114" spans="5:5" x14ac:dyDescent="0.25">
      <c r="E114">
        <v>1</v>
      </c>
    </row>
    <row r="115" spans="5:5" x14ac:dyDescent="0.25">
      <c r="E115">
        <v>1</v>
      </c>
    </row>
    <row r="116" spans="5:5" x14ac:dyDescent="0.25">
      <c r="E116">
        <v>1</v>
      </c>
    </row>
    <row r="117" spans="5:5" x14ac:dyDescent="0.25">
      <c r="E117">
        <v>1</v>
      </c>
    </row>
    <row r="118" spans="5:5" x14ac:dyDescent="0.25">
      <c r="E118">
        <v>1</v>
      </c>
    </row>
    <row r="119" spans="5:5" x14ac:dyDescent="0.25">
      <c r="E119">
        <v>1</v>
      </c>
    </row>
    <row r="120" spans="5:5" x14ac:dyDescent="0.25">
      <c r="E120">
        <v>1</v>
      </c>
    </row>
    <row r="121" spans="5:5" x14ac:dyDescent="0.25">
      <c r="E121">
        <v>1</v>
      </c>
    </row>
    <row r="122" spans="5:5" x14ac:dyDescent="0.25">
      <c r="E122">
        <v>1</v>
      </c>
    </row>
    <row r="123" spans="5:5" x14ac:dyDescent="0.25">
      <c r="E123">
        <v>1</v>
      </c>
    </row>
    <row r="124" spans="5:5" x14ac:dyDescent="0.25">
      <c r="E124">
        <v>1</v>
      </c>
    </row>
    <row r="125" spans="5:5" x14ac:dyDescent="0.25">
      <c r="E125">
        <v>1</v>
      </c>
    </row>
    <row r="126" spans="5:5" x14ac:dyDescent="0.25">
      <c r="E126">
        <v>1</v>
      </c>
    </row>
    <row r="127" spans="5:5" x14ac:dyDescent="0.25">
      <c r="E127">
        <v>1</v>
      </c>
    </row>
    <row r="128" spans="5:5" x14ac:dyDescent="0.25">
      <c r="E128">
        <v>1</v>
      </c>
    </row>
    <row r="129" spans="5:5" x14ac:dyDescent="0.25">
      <c r="E129">
        <v>1</v>
      </c>
    </row>
    <row r="130" spans="5:5" x14ac:dyDescent="0.25">
      <c r="E130">
        <v>1</v>
      </c>
    </row>
    <row r="131" spans="5:5" x14ac:dyDescent="0.25">
      <c r="E131">
        <v>1</v>
      </c>
    </row>
    <row r="132" spans="5:5" x14ac:dyDescent="0.25">
      <c r="E132">
        <v>1</v>
      </c>
    </row>
    <row r="133" spans="5:5" x14ac:dyDescent="0.25">
      <c r="E133">
        <v>1</v>
      </c>
    </row>
    <row r="134" spans="5:5" x14ac:dyDescent="0.25">
      <c r="E134">
        <v>1</v>
      </c>
    </row>
    <row r="135" spans="5:5" x14ac:dyDescent="0.25">
      <c r="E135">
        <v>1</v>
      </c>
    </row>
    <row r="136" spans="5:5" x14ac:dyDescent="0.25">
      <c r="E136">
        <v>1</v>
      </c>
    </row>
    <row r="137" spans="5:5" x14ac:dyDescent="0.25">
      <c r="E137">
        <v>1</v>
      </c>
    </row>
    <row r="138" spans="5:5" x14ac:dyDescent="0.25">
      <c r="E138">
        <v>1</v>
      </c>
    </row>
    <row r="139" spans="5:5" x14ac:dyDescent="0.25">
      <c r="E139">
        <v>1</v>
      </c>
    </row>
    <row r="140" spans="5:5" x14ac:dyDescent="0.25">
      <c r="E140">
        <v>1</v>
      </c>
    </row>
    <row r="141" spans="5:5" x14ac:dyDescent="0.25">
      <c r="E141">
        <v>1</v>
      </c>
    </row>
    <row r="142" spans="5:5" x14ac:dyDescent="0.25">
      <c r="E142">
        <v>1</v>
      </c>
    </row>
    <row r="143" spans="5:5" x14ac:dyDescent="0.25">
      <c r="E143">
        <v>1</v>
      </c>
    </row>
    <row r="144" spans="5:5" x14ac:dyDescent="0.25">
      <c r="E144">
        <v>1</v>
      </c>
    </row>
    <row r="145" spans="5:5" x14ac:dyDescent="0.25">
      <c r="E145">
        <v>1</v>
      </c>
    </row>
    <row r="146" spans="5:5" x14ac:dyDescent="0.25">
      <c r="E146">
        <v>1</v>
      </c>
    </row>
    <row r="147" spans="5:5" x14ac:dyDescent="0.25">
      <c r="E147">
        <v>1</v>
      </c>
    </row>
    <row r="148" spans="5:5" x14ac:dyDescent="0.25">
      <c r="E148">
        <v>1</v>
      </c>
    </row>
    <row r="149" spans="5:5" x14ac:dyDescent="0.25">
      <c r="E149">
        <v>1</v>
      </c>
    </row>
    <row r="150" spans="5:5" x14ac:dyDescent="0.25">
      <c r="E150">
        <v>1</v>
      </c>
    </row>
    <row r="151" spans="5:5" x14ac:dyDescent="0.25">
      <c r="E151">
        <v>1</v>
      </c>
    </row>
    <row r="152" spans="5:5" x14ac:dyDescent="0.25">
      <c r="E152">
        <v>1</v>
      </c>
    </row>
    <row r="153" spans="5:5" x14ac:dyDescent="0.25">
      <c r="E153">
        <v>1</v>
      </c>
    </row>
    <row r="154" spans="5:5" x14ac:dyDescent="0.25">
      <c r="E154">
        <v>1</v>
      </c>
    </row>
    <row r="155" spans="5:5" x14ac:dyDescent="0.25">
      <c r="E155">
        <v>1</v>
      </c>
    </row>
    <row r="156" spans="5:5" x14ac:dyDescent="0.25">
      <c r="E156">
        <v>1</v>
      </c>
    </row>
    <row r="157" spans="5:5" x14ac:dyDescent="0.25">
      <c r="E157">
        <v>1</v>
      </c>
    </row>
    <row r="158" spans="5:5" x14ac:dyDescent="0.25">
      <c r="E158">
        <v>1</v>
      </c>
    </row>
    <row r="159" spans="5:5" x14ac:dyDescent="0.25">
      <c r="E159">
        <v>1</v>
      </c>
    </row>
    <row r="160" spans="5:5" x14ac:dyDescent="0.25">
      <c r="E160">
        <v>1</v>
      </c>
    </row>
    <row r="161" spans="5:5" x14ac:dyDescent="0.25">
      <c r="E161">
        <v>1</v>
      </c>
    </row>
    <row r="162" spans="5:5" x14ac:dyDescent="0.25">
      <c r="E162">
        <v>1</v>
      </c>
    </row>
    <row r="163" spans="5:5" x14ac:dyDescent="0.25">
      <c r="E163">
        <v>1</v>
      </c>
    </row>
    <row r="164" spans="5:5" x14ac:dyDescent="0.25">
      <c r="E164">
        <v>1</v>
      </c>
    </row>
    <row r="165" spans="5:5" x14ac:dyDescent="0.25">
      <c r="E165">
        <v>1</v>
      </c>
    </row>
    <row r="166" spans="5:5" x14ac:dyDescent="0.25">
      <c r="E166">
        <v>1</v>
      </c>
    </row>
    <row r="167" spans="5:5" x14ac:dyDescent="0.25">
      <c r="E167">
        <v>1</v>
      </c>
    </row>
    <row r="168" spans="5:5" x14ac:dyDescent="0.25">
      <c r="E168">
        <v>1</v>
      </c>
    </row>
    <row r="169" spans="5:5" x14ac:dyDescent="0.25">
      <c r="E169">
        <v>1</v>
      </c>
    </row>
    <row r="170" spans="5:5" x14ac:dyDescent="0.25">
      <c r="E170">
        <v>1</v>
      </c>
    </row>
    <row r="171" spans="5:5" x14ac:dyDescent="0.25">
      <c r="E171">
        <v>1</v>
      </c>
    </row>
    <row r="172" spans="5:5" x14ac:dyDescent="0.25">
      <c r="E172">
        <v>1</v>
      </c>
    </row>
    <row r="173" spans="5:5" x14ac:dyDescent="0.25">
      <c r="E173">
        <v>1</v>
      </c>
    </row>
    <row r="174" spans="5:5" x14ac:dyDescent="0.25">
      <c r="E174">
        <v>1</v>
      </c>
    </row>
    <row r="175" spans="5:5" x14ac:dyDescent="0.25">
      <c r="E175">
        <v>1</v>
      </c>
    </row>
    <row r="176" spans="5:5" x14ac:dyDescent="0.25">
      <c r="E176">
        <v>1</v>
      </c>
    </row>
    <row r="177" spans="5:5" x14ac:dyDescent="0.25">
      <c r="E177">
        <v>1</v>
      </c>
    </row>
    <row r="178" spans="5:5" x14ac:dyDescent="0.25">
      <c r="E178">
        <v>1</v>
      </c>
    </row>
    <row r="179" spans="5:5" x14ac:dyDescent="0.25">
      <c r="E179">
        <v>1</v>
      </c>
    </row>
    <row r="180" spans="5:5" x14ac:dyDescent="0.25">
      <c r="E180">
        <v>1</v>
      </c>
    </row>
    <row r="181" spans="5:5" x14ac:dyDescent="0.25">
      <c r="E181">
        <v>1</v>
      </c>
    </row>
    <row r="182" spans="5:5" x14ac:dyDescent="0.25">
      <c r="E182">
        <v>1</v>
      </c>
    </row>
    <row r="183" spans="5:5" x14ac:dyDescent="0.25">
      <c r="E183">
        <v>1</v>
      </c>
    </row>
    <row r="184" spans="5:5" x14ac:dyDescent="0.25">
      <c r="E184">
        <v>1</v>
      </c>
    </row>
    <row r="185" spans="5:5" x14ac:dyDescent="0.25">
      <c r="E185">
        <v>1</v>
      </c>
    </row>
    <row r="186" spans="5:5" x14ac:dyDescent="0.25">
      <c r="E186">
        <v>1</v>
      </c>
    </row>
    <row r="187" spans="5:5" x14ac:dyDescent="0.25">
      <c r="E187">
        <v>1</v>
      </c>
    </row>
    <row r="188" spans="5:5" x14ac:dyDescent="0.25">
      <c r="E188">
        <v>1</v>
      </c>
    </row>
    <row r="189" spans="5:5" x14ac:dyDescent="0.25">
      <c r="E189">
        <v>1</v>
      </c>
    </row>
    <row r="190" spans="5:5" x14ac:dyDescent="0.25">
      <c r="E190">
        <v>1</v>
      </c>
    </row>
    <row r="191" spans="5:5" x14ac:dyDescent="0.25">
      <c r="E191">
        <v>1</v>
      </c>
    </row>
    <row r="192" spans="5:5" x14ac:dyDescent="0.25">
      <c r="E192">
        <v>1</v>
      </c>
    </row>
    <row r="193" spans="5:5" x14ac:dyDescent="0.25">
      <c r="E193">
        <v>1</v>
      </c>
    </row>
    <row r="194" spans="5:5" x14ac:dyDescent="0.25">
      <c r="E194">
        <v>1</v>
      </c>
    </row>
    <row r="195" spans="5:5" x14ac:dyDescent="0.25">
      <c r="E195">
        <v>1</v>
      </c>
    </row>
    <row r="196" spans="5:5" x14ac:dyDescent="0.25">
      <c r="E196">
        <v>1</v>
      </c>
    </row>
    <row r="197" spans="5:5" x14ac:dyDescent="0.25">
      <c r="E197">
        <v>1</v>
      </c>
    </row>
    <row r="198" spans="5:5" x14ac:dyDescent="0.25">
      <c r="E198">
        <v>1</v>
      </c>
    </row>
    <row r="199" spans="5:5" x14ac:dyDescent="0.25">
      <c r="E199">
        <v>1</v>
      </c>
    </row>
    <row r="200" spans="5:5" x14ac:dyDescent="0.25">
      <c r="E200">
        <v>1</v>
      </c>
    </row>
    <row r="201" spans="5:5" x14ac:dyDescent="0.25">
      <c r="E201">
        <v>1</v>
      </c>
    </row>
    <row r="202" spans="5:5" x14ac:dyDescent="0.25">
      <c r="E202">
        <v>1</v>
      </c>
    </row>
    <row r="203" spans="5:5" x14ac:dyDescent="0.25">
      <c r="E203">
        <v>1</v>
      </c>
    </row>
    <row r="204" spans="5:5" x14ac:dyDescent="0.25">
      <c r="E204">
        <v>1</v>
      </c>
    </row>
    <row r="205" spans="5:5" x14ac:dyDescent="0.25">
      <c r="E205">
        <v>1</v>
      </c>
    </row>
    <row r="206" spans="5:5" x14ac:dyDescent="0.25">
      <c r="E206">
        <v>1</v>
      </c>
    </row>
    <row r="207" spans="5:5" x14ac:dyDescent="0.25">
      <c r="E207">
        <v>1</v>
      </c>
    </row>
    <row r="208" spans="5:5" x14ac:dyDescent="0.25">
      <c r="E208">
        <v>1</v>
      </c>
    </row>
    <row r="209" spans="5:5" x14ac:dyDescent="0.25">
      <c r="E209">
        <v>1</v>
      </c>
    </row>
    <row r="210" spans="5:5" x14ac:dyDescent="0.25">
      <c r="E210">
        <v>1</v>
      </c>
    </row>
    <row r="211" spans="5:5" x14ac:dyDescent="0.25">
      <c r="E211">
        <v>1</v>
      </c>
    </row>
    <row r="212" spans="5:5" x14ac:dyDescent="0.25">
      <c r="E212">
        <v>1</v>
      </c>
    </row>
    <row r="213" spans="5:5" x14ac:dyDescent="0.25">
      <c r="E213">
        <v>1</v>
      </c>
    </row>
    <row r="214" spans="5:5" x14ac:dyDescent="0.25">
      <c r="E214">
        <v>1</v>
      </c>
    </row>
    <row r="215" spans="5:5" x14ac:dyDescent="0.25">
      <c r="E215">
        <v>1</v>
      </c>
    </row>
    <row r="216" spans="5:5" x14ac:dyDescent="0.25">
      <c r="E216">
        <v>1</v>
      </c>
    </row>
    <row r="217" spans="5:5" x14ac:dyDescent="0.25">
      <c r="E217">
        <v>1</v>
      </c>
    </row>
    <row r="218" spans="5:5" x14ac:dyDescent="0.25">
      <c r="E218">
        <v>1</v>
      </c>
    </row>
    <row r="219" spans="5:5" x14ac:dyDescent="0.25">
      <c r="E219">
        <v>1</v>
      </c>
    </row>
    <row r="220" spans="5:5" x14ac:dyDescent="0.25">
      <c r="E220">
        <v>1</v>
      </c>
    </row>
    <row r="221" spans="5:5" x14ac:dyDescent="0.25">
      <c r="E221">
        <v>1</v>
      </c>
    </row>
    <row r="222" spans="5:5" x14ac:dyDescent="0.25">
      <c r="E222">
        <v>1</v>
      </c>
    </row>
    <row r="223" spans="5:5" x14ac:dyDescent="0.25">
      <c r="E223">
        <v>1</v>
      </c>
    </row>
    <row r="224" spans="5:5" x14ac:dyDescent="0.25">
      <c r="E224">
        <v>1</v>
      </c>
    </row>
    <row r="225" spans="5:5" x14ac:dyDescent="0.25">
      <c r="E225">
        <v>1</v>
      </c>
    </row>
    <row r="226" spans="5:5" x14ac:dyDescent="0.25">
      <c r="E226">
        <v>1</v>
      </c>
    </row>
    <row r="227" spans="5:5" x14ac:dyDescent="0.25">
      <c r="E227">
        <v>1</v>
      </c>
    </row>
    <row r="228" spans="5:5" x14ac:dyDescent="0.25">
      <c r="E228">
        <v>1</v>
      </c>
    </row>
    <row r="229" spans="5:5" x14ac:dyDescent="0.25">
      <c r="E229">
        <v>1</v>
      </c>
    </row>
    <row r="230" spans="5:5" x14ac:dyDescent="0.25">
      <c r="E230">
        <v>1</v>
      </c>
    </row>
    <row r="231" spans="5:5" x14ac:dyDescent="0.25">
      <c r="E231">
        <v>1</v>
      </c>
    </row>
    <row r="232" spans="5:5" x14ac:dyDescent="0.25">
      <c r="E232">
        <v>1</v>
      </c>
    </row>
    <row r="233" spans="5:5" x14ac:dyDescent="0.25">
      <c r="E233">
        <v>1</v>
      </c>
    </row>
    <row r="234" spans="5:5" x14ac:dyDescent="0.25">
      <c r="E234">
        <v>1</v>
      </c>
    </row>
    <row r="235" spans="5:5" x14ac:dyDescent="0.25">
      <c r="E235">
        <v>1</v>
      </c>
    </row>
    <row r="236" spans="5:5" x14ac:dyDescent="0.25">
      <c r="E236">
        <v>1</v>
      </c>
    </row>
    <row r="237" spans="5:5" x14ac:dyDescent="0.25">
      <c r="E237">
        <v>1</v>
      </c>
    </row>
    <row r="238" spans="5:5" x14ac:dyDescent="0.25">
      <c r="E238">
        <v>1</v>
      </c>
    </row>
    <row r="239" spans="5:5" x14ac:dyDescent="0.25">
      <c r="E239">
        <v>1</v>
      </c>
    </row>
    <row r="240" spans="5:5" x14ac:dyDescent="0.25">
      <c r="E240">
        <v>1</v>
      </c>
    </row>
    <row r="241" spans="5:5" x14ac:dyDescent="0.25">
      <c r="E241">
        <v>1</v>
      </c>
    </row>
    <row r="242" spans="5:5" x14ac:dyDescent="0.25">
      <c r="E242">
        <v>1</v>
      </c>
    </row>
    <row r="243" spans="5:5" x14ac:dyDescent="0.25">
      <c r="E243">
        <v>1</v>
      </c>
    </row>
    <row r="244" spans="5:5" x14ac:dyDescent="0.25">
      <c r="E244">
        <v>1</v>
      </c>
    </row>
    <row r="245" spans="5:5" x14ac:dyDescent="0.25">
      <c r="E245">
        <v>1</v>
      </c>
    </row>
    <row r="246" spans="5:5" x14ac:dyDescent="0.25">
      <c r="E246">
        <v>1</v>
      </c>
    </row>
    <row r="247" spans="5:5" x14ac:dyDescent="0.25">
      <c r="E247">
        <v>1</v>
      </c>
    </row>
    <row r="248" spans="5:5" x14ac:dyDescent="0.25">
      <c r="E248">
        <v>1</v>
      </c>
    </row>
    <row r="249" spans="5:5" x14ac:dyDescent="0.25">
      <c r="E249">
        <v>1</v>
      </c>
    </row>
    <row r="250" spans="5:5" x14ac:dyDescent="0.25">
      <c r="E250">
        <v>1</v>
      </c>
    </row>
    <row r="251" spans="5:5" x14ac:dyDescent="0.25">
      <c r="E251">
        <v>1</v>
      </c>
    </row>
    <row r="252" spans="5:5" x14ac:dyDescent="0.25">
      <c r="E252">
        <v>1</v>
      </c>
    </row>
    <row r="253" spans="5:5" x14ac:dyDescent="0.25">
      <c r="E253">
        <v>1</v>
      </c>
    </row>
    <row r="254" spans="5:5" x14ac:dyDescent="0.25">
      <c r="E254">
        <v>1</v>
      </c>
    </row>
    <row r="255" spans="5:5" x14ac:dyDescent="0.25">
      <c r="E255">
        <v>1</v>
      </c>
    </row>
    <row r="256" spans="5:5" x14ac:dyDescent="0.25">
      <c r="E256">
        <v>1</v>
      </c>
    </row>
    <row r="257" spans="5:5" x14ac:dyDescent="0.25">
      <c r="E257">
        <v>1</v>
      </c>
    </row>
    <row r="258" spans="5:5" x14ac:dyDescent="0.25">
      <c r="E258">
        <v>1</v>
      </c>
    </row>
    <row r="259" spans="5:5" x14ac:dyDescent="0.25">
      <c r="E259">
        <v>1</v>
      </c>
    </row>
    <row r="260" spans="5:5" x14ac:dyDescent="0.25">
      <c r="E260">
        <v>1</v>
      </c>
    </row>
    <row r="261" spans="5:5" x14ac:dyDescent="0.25">
      <c r="E261">
        <v>1</v>
      </c>
    </row>
    <row r="262" spans="5:5" x14ac:dyDescent="0.25">
      <c r="E262">
        <v>1</v>
      </c>
    </row>
    <row r="263" spans="5:5" x14ac:dyDescent="0.25">
      <c r="E263">
        <v>1</v>
      </c>
    </row>
    <row r="264" spans="5:5" x14ac:dyDescent="0.25">
      <c r="E264">
        <v>1</v>
      </c>
    </row>
    <row r="265" spans="5:5" x14ac:dyDescent="0.25">
      <c r="E265">
        <v>1</v>
      </c>
    </row>
    <row r="266" spans="5:5" x14ac:dyDescent="0.25">
      <c r="E266">
        <v>1</v>
      </c>
    </row>
    <row r="267" spans="5:5" x14ac:dyDescent="0.25">
      <c r="E267">
        <v>1</v>
      </c>
    </row>
    <row r="268" spans="5:5" x14ac:dyDescent="0.25">
      <c r="E268">
        <v>1</v>
      </c>
    </row>
    <row r="269" spans="5:5" x14ac:dyDescent="0.25">
      <c r="E269">
        <v>1</v>
      </c>
    </row>
    <row r="270" spans="5:5" x14ac:dyDescent="0.25">
      <c r="E270">
        <v>1</v>
      </c>
    </row>
    <row r="271" spans="5:5" x14ac:dyDescent="0.25">
      <c r="E271">
        <v>1</v>
      </c>
    </row>
    <row r="272" spans="5:5" x14ac:dyDescent="0.25">
      <c r="E272">
        <v>1</v>
      </c>
    </row>
    <row r="273" spans="5:5" x14ac:dyDescent="0.25">
      <c r="E273">
        <v>1</v>
      </c>
    </row>
    <row r="274" spans="5:5" x14ac:dyDescent="0.25">
      <c r="E274">
        <v>1</v>
      </c>
    </row>
    <row r="275" spans="5:5" x14ac:dyDescent="0.25">
      <c r="E275">
        <v>1</v>
      </c>
    </row>
    <row r="276" spans="5:5" x14ac:dyDescent="0.25">
      <c r="E276">
        <v>1</v>
      </c>
    </row>
    <row r="277" spans="5:5" x14ac:dyDescent="0.25">
      <c r="E277">
        <v>1</v>
      </c>
    </row>
    <row r="278" spans="5:5" x14ac:dyDescent="0.25">
      <c r="E278">
        <v>1</v>
      </c>
    </row>
    <row r="279" spans="5:5" x14ac:dyDescent="0.25">
      <c r="E279">
        <v>1</v>
      </c>
    </row>
    <row r="280" spans="5:5" x14ac:dyDescent="0.25">
      <c r="E280">
        <v>1</v>
      </c>
    </row>
    <row r="281" spans="5:5" x14ac:dyDescent="0.25">
      <c r="E281">
        <v>1</v>
      </c>
    </row>
    <row r="282" spans="5:5" x14ac:dyDescent="0.25">
      <c r="E282">
        <v>1</v>
      </c>
    </row>
    <row r="283" spans="5:5" x14ac:dyDescent="0.25">
      <c r="E283">
        <v>1</v>
      </c>
    </row>
    <row r="284" spans="5:5" x14ac:dyDescent="0.25">
      <c r="E284">
        <v>1</v>
      </c>
    </row>
    <row r="285" spans="5:5" x14ac:dyDescent="0.25">
      <c r="E285">
        <v>1</v>
      </c>
    </row>
    <row r="286" spans="5:5" x14ac:dyDescent="0.25">
      <c r="E286">
        <v>1</v>
      </c>
    </row>
    <row r="287" spans="5:5" x14ac:dyDescent="0.25">
      <c r="E287">
        <v>1</v>
      </c>
    </row>
    <row r="288" spans="5:5" x14ac:dyDescent="0.25">
      <c r="E288">
        <v>1</v>
      </c>
    </row>
    <row r="289" spans="5:5" x14ac:dyDescent="0.25">
      <c r="E289">
        <v>1</v>
      </c>
    </row>
    <row r="290" spans="5:5" x14ac:dyDescent="0.25">
      <c r="E290">
        <v>1</v>
      </c>
    </row>
    <row r="291" spans="5:5" x14ac:dyDescent="0.25">
      <c r="E291">
        <v>1</v>
      </c>
    </row>
    <row r="292" spans="5:5" x14ac:dyDescent="0.25">
      <c r="E292">
        <v>1</v>
      </c>
    </row>
    <row r="293" spans="5:5" x14ac:dyDescent="0.25">
      <c r="E293">
        <v>1</v>
      </c>
    </row>
    <row r="294" spans="5:5" x14ac:dyDescent="0.25">
      <c r="E294">
        <v>1</v>
      </c>
    </row>
    <row r="295" spans="5:5" x14ac:dyDescent="0.25">
      <c r="E295">
        <v>1</v>
      </c>
    </row>
    <row r="296" spans="5:5" x14ac:dyDescent="0.25">
      <c r="E296">
        <v>1</v>
      </c>
    </row>
    <row r="297" spans="5:5" x14ac:dyDescent="0.25">
      <c r="E297">
        <v>1</v>
      </c>
    </row>
    <row r="298" spans="5:5" x14ac:dyDescent="0.25">
      <c r="E298">
        <v>1</v>
      </c>
    </row>
    <row r="299" spans="5:5" x14ac:dyDescent="0.25">
      <c r="E299">
        <v>1</v>
      </c>
    </row>
    <row r="300" spans="5:5" x14ac:dyDescent="0.25">
      <c r="E300">
        <v>1</v>
      </c>
    </row>
    <row r="301" spans="5:5" x14ac:dyDescent="0.25">
      <c r="E301">
        <v>1</v>
      </c>
    </row>
    <row r="302" spans="5:5" x14ac:dyDescent="0.25">
      <c r="E302">
        <v>1</v>
      </c>
    </row>
    <row r="303" spans="5:5" x14ac:dyDescent="0.25">
      <c r="E303">
        <v>1</v>
      </c>
    </row>
    <row r="304" spans="5:5" x14ac:dyDescent="0.25">
      <c r="E304">
        <v>1</v>
      </c>
    </row>
    <row r="305" spans="5:5" x14ac:dyDescent="0.25">
      <c r="E305">
        <v>1</v>
      </c>
    </row>
    <row r="306" spans="5:5" x14ac:dyDescent="0.25">
      <c r="E306">
        <v>1</v>
      </c>
    </row>
    <row r="307" spans="5:5" x14ac:dyDescent="0.25">
      <c r="E307">
        <v>1</v>
      </c>
    </row>
    <row r="308" spans="5:5" x14ac:dyDescent="0.25">
      <c r="E308">
        <v>1</v>
      </c>
    </row>
    <row r="309" spans="5:5" x14ac:dyDescent="0.25">
      <c r="E309">
        <v>1</v>
      </c>
    </row>
    <row r="310" spans="5:5" x14ac:dyDescent="0.25">
      <c r="E310">
        <v>1</v>
      </c>
    </row>
    <row r="311" spans="5:5" x14ac:dyDescent="0.25">
      <c r="E311">
        <v>1</v>
      </c>
    </row>
    <row r="312" spans="5:5" x14ac:dyDescent="0.25">
      <c r="E312">
        <v>1</v>
      </c>
    </row>
    <row r="313" spans="5:5" x14ac:dyDescent="0.25">
      <c r="E313">
        <v>1</v>
      </c>
    </row>
    <row r="314" spans="5:5" x14ac:dyDescent="0.25">
      <c r="E314">
        <v>1</v>
      </c>
    </row>
    <row r="315" spans="5:5" x14ac:dyDescent="0.25">
      <c r="E315">
        <v>1</v>
      </c>
    </row>
    <row r="316" spans="5:5" x14ac:dyDescent="0.25">
      <c r="E316">
        <v>1</v>
      </c>
    </row>
    <row r="317" spans="5:5" x14ac:dyDescent="0.25">
      <c r="E317">
        <v>1</v>
      </c>
    </row>
    <row r="318" spans="5:5" x14ac:dyDescent="0.25">
      <c r="E318">
        <v>1</v>
      </c>
    </row>
    <row r="319" spans="5:5" x14ac:dyDescent="0.25">
      <c r="E319">
        <v>1</v>
      </c>
    </row>
    <row r="320" spans="5:5" x14ac:dyDescent="0.25">
      <c r="E320">
        <v>1</v>
      </c>
    </row>
    <row r="321" spans="5:5" x14ac:dyDescent="0.25">
      <c r="E321">
        <v>1</v>
      </c>
    </row>
    <row r="322" spans="5:5" x14ac:dyDescent="0.25">
      <c r="E322">
        <v>1</v>
      </c>
    </row>
    <row r="323" spans="5:5" x14ac:dyDescent="0.25">
      <c r="E323">
        <v>1</v>
      </c>
    </row>
    <row r="324" spans="5:5" x14ac:dyDescent="0.25">
      <c r="E324">
        <v>1</v>
      </c>
    </row>
    <row r="325" spans="5:5" x14ac:dyDescent="0.25">
      <c r="E325">
        <v>1</v>
      </c>
    </row>
    <row r="326" spans="5:5" x14ac:dyDescent="0.25">
      <c r="E326">
        <v>1</v>
      </c>
    </row>
    <row r="327" spans="5:5" x14ac:dyDescent="0.25">
      <c r="E327">
        <v>1</v>
      </c>
    </row>
    <row r="328" spans="5:5" x14ac:dyDescent="0.25">
      <c r="E328">
        <v>1</v>
      </c>
    </row>
    <row r="329" spans="5:5" x14ac:dyDescent="0.25">
      <c r="E329">
        <v>1</v>
      </c>
    </row>
    <row r="330" spans="5:5" x14ac:dyDescent="0.25">
      <c r="E330">
        <v>1</v>
      </c>
    </row>
    <row r="331" spans="5:5" x14ac:dyDescent="0.25">
      <c r="E331">
        <v>1</v>
      </c>
    </row>
    <row r="332" spans="5:5" x14ac:dyDescent="0.25">
      <c r="E332">
        <v>1</v>
      </c>
    </row>
    <row r="333" spans="5:5" x14ac:dyDescent="0.25">
      <c r="E333">
        <v>1</v>
      </c>
    </row>
    <row r="334" spans="5:5" x14ac:dyDescent="0.25">
      <c r="E334">
        <v>1</v>
      </c>
    </row>
    <row r="335" spans="5:5" x14ac:dyDescent="0.25">
      <c r="E335">
        <v>1</v>
      </c>
    </row>
    <row r="336" spans="5:5" x14ac:dyDescent="0.25">
      <c r="E336">
        <v>1</v>
      </c>
    </row>
    <row r="337" spans="5:5" x14ac:dyDescent="0.25">
      <c r="E337">
        <v>1</v>
      </c>
    </row>
    <row r="338" spans="5:5" x14ac:dyDescent="0.25">
      <c r="E338">
        <v>1</v>
      </c>
    </row>
    <row r="339" spans="5:5" x14ac:dyDescent="0.25">
      <c r="E339">
        <v>1</v>
      </c>
    </row>
    <row r="340" spans="5:5" x14ac:dyDescent="0.25">
      <c r="E340">
        <v>1</v>
      </c>
    </row>
    <row r="341" spans="5:5" x14ac:dyDescent="0.25">
      <c r="E341">
        <v>1</v>
      </c>
    </row>
    <row r="342" spans="5:5" x14ac:dyDescent="0.25">
      <c r="E342">
        <v>1</v>
      </c>
    </row>
    <row r="343" spans="5:5" x14ac:dyDescent="0.25">
      <c r="E343">
        <v>1</v>
      </c>
    </row>
    <row r="344" spans="5:5" x14ac:dyDescent="0.25">
      <c r="E344">
        <v>1</v>
      </c>
    </row>
    <row r="345" spans="5:5" x14ac:dyDescent="0.25">
      <c r="E345">
        <v>1</v>
      </c>
    </row>
    <row r="346" spans="5:5" x14ac:dyDescent="0.25">
      <c r="E346">
        <v>1</v>
      </c>
    </row>
    <row r="347" spans="5:5" x14ac:dyDescent="0.25">
      <c r="E347">
        <v>1</v>
      </c>
    </row>
    <row r="348" spans="5:5" x14ac:dyDescent="0.25">
      <c r="E348">
        <v>1</v>
      </c>
    </row>
    <row r="349" spans="5:5" x14ac:dyDescent="0.25">
      <c r="E349">
        <v>1</v>
      </c>
    </row>
    <row r="350" spans="5:5" x14ac:dyDescent="0.25">
      <c r="E350">
        <v>1</v>
      </c>
    </row>
    <row r="351" spans="5:5" x14ac:dyDescent="0.25">
      <c r="E351">
        <v>1</v>
      </c>
    </row>
    <row r="352" spans="5:5" x14ac:dyDescent="0.25">
      <c r="E352">
        <v>1</v>
      </c>
    </row>
    <row r="353" spans="5:5" x14ac:dyDescent="0.25">
      <c r="E353">
        <v>1</v>
      </c>
    </row>
    <row r="354" spans="5:5" x14ac:dyDescent="0.25">
      <c r="E354">
        <v>1</v>
      </c>
    </row>
    <row r="355" spans="5:5" x14ac:dyDescent="0.25">
      <c r="E355">
        <v>1</v>
      </c>
    </row>
    <row r="356" spans="5:5" x14ac:dyDescent="0.25">
      <c r="E356">
        <v>1</v>
      </c>
    </row>
    <row r="357" spans="5:5" x14ac:dyDescent="0.25">
      <c r="E357">
        <v>1</v>
      </c>
    </row>
    <row r="358" spans="5:5" x14ac:dyDescent="0.25">
      <c r="E358">
        <v>1</v>
      </c>
    </row>
    <row r="359" spans="5:5" x14ac:dyDescent="0.25">
      <c r="E359">
        <v>1</v>
      </c>
    </row>
    <row r="360" spans="5:5" x14ac:dyDescent="0.25">
      <c r="E360">
        <v>1</v>
      </c>
    </row>
    <row r="361" spans="5:5" x14ac:dyDescent="0.25">
      <c r="E361">
        <v>1</v>
      </c>
    </row>
    <row r="362" spans="5:5" x14ac:dyDescent="0.25">
      <c r="E362">
        <v>1</v>
      </c>
    </row>
    <row r="363" spans="5:5" x14ac:dyDescent="0.25">
      <c r="E363">
        <v>1</v>
      </c>
    </row>
    <row r="364" spans="5:5" x14ac:dyDescent="0.25">
      <c r="E364">
        <v>1</v>
      </c>
    </row>
    <row r="365" spans="5:5" x14ac:dyDescent="0.25">
      <c r="E365">
        <v>1</v>
      </c>
    </row>
    <row r="366" spans="5:5" x14ac:dyDescent="0.25">
      <c r="E366">
        <v>1</v>
      </c>
    </row>
    <row r="367" spans="5:5" x14ac:dyDescent="0.25">
      <c r="E367">
        <v>1</v>
      </c>
    </row>
    <row r="368" spans="5:5" x14ac:dyDescent="0.25">
      <c r="E368">
        <v>1</v>
      </c>
    </row>
    <row r="369" spans="5:5" x14ac:dyDescent="0.25">
      <c r="E369">
        <v>1</v>
      </c>
    </row>
    <row r="370" spans="5:5" x14ac:dyDescent="0.25">
      <c r="E370">
        <v>1</v>
      </c>
    </row>
    <row r="371" spans="5:5" x14ac:dyDescent="0.25">
      <c r="E371">
        <v>1</v>
      </c>
    </row>
    <row r="372" spans="5:5" x14ac:dyDescent="0.25">
      <c r="E372">
        <v>1</v>
      </c>
    </row>
    <row r="373" spans="5:5" x14ac:dyDescent="0.25">
      <c r="E373">
        <v>1</v>
      </c>
    </row>
    <row r="374" spans="5:5" x14ac:dyDescent="0.25">
      <c r="E374">
        <v>1</v>
      </c>
    </row>
    <row r="375" spans="5:5" x14ac:dyDescent="0.25">
      <c r="E375">
        <v>1</v>
      </c>
    </row>
    <row r="376" spans="5:5" x14ac:dyDescent="0.25">
      <c r="E376">
        <v>1</v>
      </c>
    </row>
    <row r="377" spans="5:5" x14ac:dyDescent="0.25">
      <c r="E377">
        <v>1</v>
      </c>
    </row>
    <row r="378" spans="5:5" x14ac:dyDescent="0.25">
      <c r="E378">
        <v>1</v>
      </c>
    </row>
    <row r="379" spans="5:5" x14ac:dyDescent="0.25">
      <c r="E379">
        <v>1</v>
      </c>
    </row>
    <row r="380" spans="5:5" x14ac:dyDescent="0.25">
      <c r="E380">
        <v>1</v>
      </c>
    </row>
    <row r="381" spans="5:5" x14ac:dyDescent="0.25">
      <c r="E381">
        <v>1</v>
      </c>
    </row>
    <row r="382" spans="5:5" x14ac:dyDescent="0.25">
      <c r="E382">
        <v>1</v>
      </c>
    </row>
    <row r="383" spans="5:5" x14ac:dyDescent="0.25">
      <c r="E383">
        <v>1</v>
      </c>
    </row>
    <row r="384" spans="5:5" x14ac:dyDescent="0.25">
      <c r="E384">
        <v>1</v>
      </c>
    </row>
    <row r="385" spans="5:5" x14ac:dyDescent="0.25">
      <c r="E385">
        <v>1</v>
      </c>
    </row>
    <row r="386" spans="5:5" x14ac:dyDescent="0.25">
      <c r="E386">
        <v>1</v>
      </c>
    </row>
    <row r="387" spans="5:5" x14ac:dyDescent="0.25">
      <c r="E387">
        <v>1</v>
      </c>
    </row>
    <row r="388" spans="5:5" x14ac:dyDescent="0.25">
      <c r="E388">
        <v>1</v>
      </c>
    </row>
    <row r="389" spans="5:5" x14ac:dyDescent="0.25">
      <c r="E389">
        <v>1</v>
      </c>
    </row>
    <row r="390" spans="5:5" x14ac:dyDescent="0.25">
      <c r="E390">
        <v>1</v>
      </c>
    </row>
    <row r="391" spans="5:5" x14ac:dyDescent="0.25">
      <c r="E391">
        <v>1</v>
      </c>
    </row>
    <row r="392" spans="5:5" x14ac:dyDescent="0.25">
      <c r="E392">
        <v>1</v>
      </c>
    </row>
    <row r="393" spans="5:5" x14ac:dyDescent="0.25">
      <c r="E393">
        <v>1</v>
      </c>
    </row>
    <row r="394" spans="5:5" x14ac:dyDescent="0.25">
      <c r="E394">
        <v>1</v>
      </c>
    </row>
    <row r="395" spans="5:5" x14ac:dyDescent="0.25">
      <c r="E395">
        <v>1</v>
      </c>
    </row>
    <row r="396" spans="5:5" x14ac:dyDescent="0.25">
      <c r="E396">
        <v>1</v>
      </c>
    </row>
    <row r="397" spans="5:5" x14ac:dyDescent="0.25">
      <c r="E397">
        <v>1</v>
      </c>
    </row>
    <row r="398" spans="5:5" x14ac:dyDescent="0.25">
      <c r="E398">
        <v>1</v>
      </c>
    </row>
    <row r="399" spans="5:5" x14ac:dyDescent="0.25">
      <c r="E399">
        <v>1</v>
      </c>
    </row>
    <row r="400" spans="5:5" x14ac:dyDescent="0.25">
      <c r="E400">
        <v>1</v>
      </c>
    </row>
    <row r="401" spans="5:5" x14ac:dyDescent="0.25">
      <c r="E401">
        <v>1</v>
      </c>
    </row>
    <row r="402" spans="5:5" x14ac:dyDescent="0.25">
      <c r="E402">
        <v>1</v>
      </c>
    </row>
    <row r="403" spans="5:5" x14ac:dyDescent="0.25">
      <c r="E403">
        <v>1</v>
      </c>
    </row>
    <row r="404" spans="5:5" x14ac:dyDescent="0.25">
      <c r="E404">
        <v>1</v>
      </c>
    </row>
    <row r="405" spans="5:5" x14ac:dyDescent="0.25">
      <c r="E405">
        <v>1</v>
      </c>
    </row>
    <row r="406" spans="5:5" x14ac:dyDescent="0.25">
      <c r="E406">
        <v>1</v>
      </c>
    </row>
    <row r="407" spans="5:5" x14ac:dyDescent="0.25">
      <c r="E407">
        <v>1</v>
      </c>
    </row>
    <row r="408" spans="5:5" x14ac:dyDescent="0.25">
      <c r="E408">
        <v>1</v>
      </c>
    </row>
    <row r="409" spans="5:5" x14ac:dyDescent="0.25">
      <c r="E409">
        <v>1</v>
      </c>
    </row>
    <row r="410" spans="5:5" x14ac:dyDescent="0.25">
      <c r="E410">
        <v>1</v>
      </c>
    </row>
    <row r="411" spans="5:5" x14ac:dyDescent="0.25">
      <c r="E411">
        <v>1</v>
      </c>
    </row>
    <row r="412" spans="5:5" x14ac:dyDescent="0.25">
      <c r="E412">
        <v>1</v>
      </c>
    </row>
    <row r="413" spans="5:5" x14ac:dyDescent="0.25">
      <c r="E413">
        <v>1</v>
      </c>
    </row>
    <row r="414" spans="5:5" x14ac:dyDescent="0.25">
      <c r="E414">
        <v>1</v>
      </c>
    </row>
    <row r="415" spans="5:5" x14ac:dyDescent="0.25">
      <c r="E415">
        <v>1</v>
      </c>
    </row>
    <row r="416" spans="5:5" x14ac:dyDescent="0.25">
      <c r="E416">
        <v>1</v>
      </c>
    </row>
    <row r="417" spans="5:5" x14ac:dyDescent="0.25">
      <c r="E417">
        <v>1</v>
      </c>
    </row>
    <row r="418" spans="5:5" x14ac:dyDescent="0.25">
      <c r="E418">
        <v>1</v>
      </c>
    </row>
    <row r="419" spans="5:5" x14ac:dyDescent="0.25">
      <c r="E419">
        <v>1</v>
      </c>
    </row>
    <row r="420" spans="5:5" x14ac:dyDescent="0.25">
      <c r="E420">
        <v>1</v>
      </c>
    </row>
    <row r="421" spans="5:5" x14ac:dyDescent="0.25">
      <c r="E421">
        <v>1</v>
      </c>
    </row>
    <row r="422" spans="5:5" x14ac:dyDescent="0.25">
      <c r="E422">
        <v>1</v>
      </c>
    </row>
    <row r="423" spans="5:5" x14ac:dyDescent="0.25">
      <c r="E423">
        <v>1</v>
      </c>
    </row>
    <row r="424" spans="5:5" x14ac:dyDescent="0.25">
      <c r="E424">
        <v>1</v>
      </c>
    </row>
    <row r="425" spans="5:5" x14ac:dyDescent="0.25">
      <c r="E425">
        <v>1</v>
      </c>
    </row>
    <row r="426" spans="5:5" x14ac:dyDescent="0.25">
      <c r="E426">
        <v>1</v>
      </c>
    </row>
    <row r="427" spans="5:5" x14ac:dyDescent="0.25">
      <c r="E427">
        <v>1</v>
      </c>
    </row>
    <row r="428" spans="5:5" x14ac:dyDescent="0.25">
      <c r="E428">
        <v>1</v>
      </c>
    </row>
    <row r="429" spans="5:5" x14ac:dyDescent="0.25">
      <c r="E429">
        <v>1</v>
      </c>
    </row>
    <row r="430" spans="5:5" x14ac:dyDescent="0.25">
      <c r="E430">
        <v>1</v>
      </c>
    </row>
    <row r="431" spans="5:5" x14ac:dyDescent="0.25">
      <c r="E431">
        <v>1</v>
      </c>
    </row>
    <row r="432" spans="5:5" x14ac:dyDescent="0.25">
      <c r="E432">
        <v>1</v>
      </c>
    </row>
    <row r="433" spans="5:5" x14ac:dyDescent="0.25">
      <c r="E433">
        <v>1</v>
      </c>
    </row>
    <row r="434" spans="5:5" x14ac:dyDescent="0.25">
      <c r="E434">
        <v>1</v>
      </c>
    </row>
    <row r="435" spans="5:5" x14ac:dyDescent="0.25">
      <c r="E435">
        <v>1</v>
      </c>
    </row>
    <row r="436" spans="5:5" x14ac:dyDescent="0.25">
      <c r="E436">
        <v>1</v>
      </c>
    </row>
    <row r="437" spans="5:5" x14ac:dyDescent="0.25">
      <c r="E437">
        <v>1</v>
      </c>
    </row>
    <row r="438" spans="5:5" x14ac:dyDescent="0.25">
      <c r="E438">
        <v>1</v>
      </c>
    </row>
    <row r="439" spans="5:5" x14ac:dyDescent="0.25">
      <c r="E439">
        <v>1</v>
      </c>
    </row>
    <row r="440" spans="5:5" x14ac:dyDescent="0.25">
      <c r="E440">
        <v>1</v>
      </c>
    </row>
    <row r="441" spans="5:5" x14ac:dyDescent="0.25">
      <c r="E441">
        <v>1</v>
      </c>
    </row>
    <row r="442" spans="5:5" x14ac:dyDescent="0.25">
      <c r="E442">
        <v>1</v>
      </c>
    </row>
    <row r="443" spans="5:5" x14ac:dyDescent="0.25">
      <c r="E443">
        <v>1</v>
      </c>
    </row>
    <row r="444" spans="5:5" x14ac:dyDescent="0.25">
      <c r="E444">
        <v>1</v>
      </c>
    </row>
    <row r="445" spans="5:5" x14ac:dyDescent="0.25">
      <c r="E445">
        <v>1</v>
      </c>
    </row>
    <row r="446" spans="5:5" x14ac:dyDescent="0.25">
      <c r="E446">
        <v>1</v>
      </c>
    </row>
    <row r="447" spans="5:5" x14ac:dyDescent="0.25">
      <c r="E447">
        <v>1</v>
      </c>
    </row>
    <row r="448" spans="5:5" x14ac:dyDescent="0.25">
      <c r="E448">
        <v>1</v>
      </c>
    </row>
    <row r="449" spans="5:5" x14ac:dyDescent="0.25">
      <c r="E449">
        <v>1</v>
      </c>
    </row>
    <row r="450" spans="5:5" x14ac:dyDescent="0.25">
      <c r="E450">
        <v>1</v>
      </c>
    </row>
    <row r="451" spans="5:5" x14ac:dyDescent="0.25">
      <c r="E451">
        <v>1</v>
      </c>
    </row>
    <row r="452" spans="5:5" x14ac:dyDescent="0.25">
      <c r="E452">
        <v>1</v>
      </c>
    </row>
    <row r="453" spans="5:5" x14ac:dyDescent="0.25">
      <c r="E453">
        <v>1</v>
      </c>
    </row>
    <row r="454" spans="5:5" x14ac:dyDescent="0.25">
      <c r="E454">
        <v>1</v>
      </c>
    </row>
    <row r="455" spans="5:5" x14ac:dyDescent="0.25">
      <c r="E455">
        <v>1</v>
      </c>
    </row>
    <row r="456" spans="5:5" x14ac:dyDescent="0.25">
      <c r="E456">
        <v>1</v>
      </c>
    </row>
    <row r="457" spans="5:5" x14ac:dyDescent="0.25">
      <c r="E457">
        <v>1</v>
      </c>
    </row>
    <row r="458" spans="5:5" x14ac:dyDescent="0.25">
      <c r="E458">
        <v>1</v>
      </c>
    </row>
    <row r="459" spans="5:5" x14ac:dyDescent="0.25">
      <c r="E459">
        <v>1</v>
      </c>
    </row>
    <row r="460" spans="5:5" x14ac:dyDescent="0.25">
      <c r="E460">
        <v>1</v>
      </c>
    </row>
    <row r="461" spans="5:5" x14ac:dyDescent="0.25">
      <c r="E461">
        <v>1</v>
      </c>
    </row>
    <row r="462" spans="5:5" x14ac:dyDescent="0.25">
      <c r="E462">
        <v>1</v>
      </c>
    </row>
    <row r="463" spans="5:5" x14ac:dyDescent="0.25">
      <c r="E463">
        <v>1</v>
      </c>
    </row>
    <row r="464" spans="5:5" x14ac:dyDescent="0.25">
      <c r="E464">
        <v>1</v>
      </c>
    </row>
    <row r="465" spans="5:5" x14ac:dyDescent="0.25">
      <c r="E465">
        <v>1</v>
      </c>
    </row>
    <row r="466" spans="5:5" x14ac:dyDescent="0.25">
      <c r="E466">
        <v>1</v>
      </c>
    </row>
    <row r="467" spans="5:5" x14ac:dyDescent="0.25">
      <c r="E467">
        <v>1</v>
      </c>
    </row>
    <row r="468" spans="5:5" x14ac:dyDescent="0.25">
      <c r="E468">
        <v>1</v>
      </c>
    </row>
    <row r="469" spans="5:5" x14ac:dyDescent="0.25">
      <c r="E469">
        <v>1</v>
      </c>
    </row>
    <row r="470" spans="5:5" x14ac:dyDescent="0.25">
      <c r="E470">
        <v>1</v>
      </c>
    </row>
    <row r="471" spans="5:5" x14ac:dyDescent="0.25">
      <c r="E471">
        <v>1</v>
      </c>
    </row>
    <row r="472" spans="5:5" x14ac:dyDescent="0.25">
      <c r="E472">
        <v>1</v>
      </c>
    </row>
    <row r="473" spans="5:5" x14ac:dyDescent="0.25">
      <c r="E473">
        <v>1</v>
      </c>
    </row>
    <row r="474" spans="5:5" x14ac:dyDescent="0.25">
      <c r="E474">
        <v>1</v>
      </c>
    </row>
    <row r="475" spans="5:5" x14ac:dyDescent="0.25">
      <c r="E475">
        <v>1</v>
      </c>
    </row>
    <row r="476" spans="5:5" x14ac:dyDescent="0.25">
      <c r="E476">
        <v>1</v>
      </c>
    </row>
    <row r="477" spans="5:5" x14ac:dyDescent="0.25">
      <c r="E477">
        <v>1</v>
      </c>
    </row>
    <row r="478" spans="5:5" x14ac:dyDescent="0.25">
      <c r="E478">
        <v>1</v>
      </c>
    </row>
    <row r="479" spans="5:5" x14ac:dyDescent="0.25">
      <c r="E479">
        <v>1</v>
      </c>
    </row>
    <row r="480" spans="5:5" x14ac:dyDescent="0.25">
      <c r="E480">
        <v>1</v>
      </c>
    </row>
    <row r="481" spans="5:5" x14ac:dyDescent="0.25">
      <c r="E481">
        <v>1</v>
      </c>
    </row>
    <row r="482" spans="5:5" x14ac:dyDescent="0.25">
      <c r="E482">
        <v>1</v>
      </c>
    </row>
    <row r="483" spans="5:5" x14ac:dyDescent="0.25">
      <c r="E483">
        <v>1</v>
      </c>
    </row>
    <row r="484" spans="5:5" x14ac:dyDescent="0.25">
      <c r="E484">
        <v>1</v>
      </c>
    </row>
    <row r="485" spans="5:5" x14ac:dyDescent="0.25">
      <c r="E485">
        <v>1</v>
      </c>
    </row>
    <row r="486" spans="5:5" x14ac:dyDescent="0.25">
      <c r="E486">
        <v>1</v>
      </c>
    </row>
    <row r="487" spans="5:5" x14ac:dyDescent="0.25">
      <c r="E487">
        <v>1</v>
      </c>
    </row>
    <row r="488" spans="5:5" x14ac:dyDescent="0.25">
      <c r="E488">
        <v>1</v>
      </c>
    </row>
    <row r="489" spans="5:5" x14ac:dyDescent="0.25">
      <c r="E489">
        <v>1</v>
      </c>
    </row>
    <row r="490" spans="5:5" x14ac:dyDescent="0.25">
      <c r="E490">
        <v>1</v>
      </c>
    </row>
    <row r="491" spans="5:5" x14ac:dyDescent="0.25">
      <c r="E491">
        <v>1</v>
      </c>
    </row>
    <row r="492" spans="5:5" x14ac:dyDescent="0.25">
      <c r="E492">
        <v>1</v>
      </c>
    </row>
    <row r="493" spans="5:5" x14ac:dyDescent="0.25">
      <c r="E493">
        <v>1</v>
      </c>
    </row>
    <row r="494" spans="5:5" x14ac:dyDescent="0.25">
      <c r="E494">
        <v>1</v>
      </c>
    </row>
    <row r="495" spans="5:5" x14ac:dyDescent="0.25">
      <c r="E495">
        <v>1</v>
      </c>
    </row>
    <row r="496" spans="5:5" x14ac:dyDescent="0.25">
      <c r="E496">
        <v>1</v>
      </c>
    </row>
    <row r="497" spans="5:5" x14ac:dyDescent="0.25">
      <c r="E497">
        <v>1</v>
      </c>
    </row>
    <row r="498" spans="5:5" x14ac:dyDescent="0.25">
      <c r="E498">
        <v>1</v>
      </c>
    </row>
    <row r="499" spans="5:5" x14ac:dyDescent="0.25">
      <c r="E499">
        <v>1</v>
      </c>
    </row>
    <row r="500" spans="5:5" x14ac:dyDescent="0.25">
      <c r="E500">
        <v>1</v>
      </c>
    </row>
    <row r="501" spans="5:5" x14ac:dyDescent="0.25">
      <c r="E501">
        <v>1</v>
      </c>
    </row>
    <row r="502" spans="5:5" x14ac:dyDescent="0.25">
      <c r="E502">
        <v>1</v>
      </c>
    </row>
    <row r="503" spans="5:5" x14ac:dyDescent="0.25">
      <c r="E503">
        <v>1</v>
      </c>
    </row>
    <row r="504" spans="5:5" x14ac:dyDescent="0.25">
      <c r="E504">
        <v>1</v>
      </c>
    </row>
    <row r="505" spans="5:5" x14ac:dyDescent="0.25">
      <c r="E505">
        <v>1</v>
      </c>
    </row>
    <row r="506" spans="5:5" x14ac:dyDescent="0.25">
      <c r="E506">
        <v>1</v>
      </c>
    </row>
    <row r="507" spans="5:5" x14ac:dyDescent="0.25">
      <c r="E507">
        <v>1</v>
      </c>
    </row>
    <row r="508" spans="5:5" x14ac:dyDescent="0.25">
      <c r="E508">
        <v>1</v>
      </c>
    </row>
    <row r="509" spans="5:5" x14ac:dyDescent="0.25">
      <c r="E509">
        <v>1</v>
      </c>
    </row>
    <row r="510" spans="5:5" x14ac:dyDescent="0.25">
      <c r="E510">
        <v>1</v>
      </c>
    </row>
    <row r="511" spans="5:5" x14ac:dyDescent="0.25">
      <c r="E511">
        <v>1</v>
      </c>
    </row>
    <row r="512" spans="5:5" x14ac:dyDescent="0.25">
      <c r="E512">
        <v>1</v>
      </c>
    </row>
    <row r="513" spans="5:5" x14ac:dyDescent="0.25">
      <c r="E513">
        <v>1</v>
      </c>
    </row>
    <row r="514" spans="5:5" x14ac:dyDescent="0.25">
      <c r="E514">
        <v>1</v>
      </c>
    </row>
    <row r="515" spans="5:5" x14ac:dyDescent="0.25">
      <c r="E515">
        <v>1</v>
      </c>
    </row>
    <row r="516" spans="5:5" x14ac:dyDescent="0.25">
      <c r="E516">
        <v>1</v>
      </c>
    </row>
    <row r="517" spans="5:5" x14ac:dyDescent="0.25">
      <c r="E517">
        <v>1</v>
      </c>
    </row>
    <row r="518" spans="5:5" x14ac:dyDescent="0.25">
      <c r="E518">
        <v>1</v>
      </c>
    </row>
    <row r="519" spans="5:5" x14ac:dyDescent="0.25">
      <c r="E519">
        <v>1</v>
      </c>
    </row>
    <row r="520" spans="5:5" x14ac:dyDescent="0.25">
      <c r="E520">
        <v>1</v>
      </c>
    </row>
    <row r="521" spans="5:5" x14ac:dyDescent="0.25">
      <c r="E521">
        <v>1</v>
      </c>
    </row>
    <row r="522" spans="5:5" x14ac:dyDescent="0.25">
      <c r="E522">
        <v>1</v>
      </c>
    </row>
    <row r="523" spans="5:5" x14ac:dyDescent="0.25">
      <c r="E523">
        <v>1</v>
      </c>
    </row>
    <row r="524" spans="5:5" x14ac:dyDescent="0.25">
      <c r="E524">
        <v>1</v>
      </c>
    </row>
    <row r="525" spans="5:5" x14ac:dyDescent="0.25">
      <c r="E525">
        <v>1</v>
      </c>
    </row>
    <row r="526" spans="5:5" x14ac:dyDescent="0.25">
      <c r="E526">
        <v>1</v>
      </c>
    </row>
    <row r="527" spans="5:5" x14ac:dyDescent="0.25">
      <c r="E527">
        <v>1</v>
      </c>
    </row>
    <row r="528" spans="5:5" x14ac:dyDescent="0.25">
      <c r="E528">
        <v>1</v>
      </c>
    </row>
    <row r="529" spans="5:5" x14ac:dyDescent="0.25">
      <c r="E529">
        <v>1</v>
      </c>
    </row>
    <row r="530" spans="5:5" x14ac:dyDescent="0.25">
      <c r="E530">
        <v>1</v>
      </c>
    </row>
    <row r="531" spans="5:5" x14ac:dyDescent="0.25">
      <c r="E531">
        <v>1</v>
      </c>
    </row>
    <row r="532" spans="5:5" x14ac:dyDescent="0.25">
      <c r="E532">
        <v>1</v>
      </c>
    </row>
    <row r="533" spans="5:5" x14ac:dyDescent="0.25">
      <c r="E533">
        <v>1</v>
      </c>
    </row>
    <row r="534" spans="5:5" x14ac:dyDescent="0.25">
      <c r="E534">
        <v>1</v>
      </c>
    </row>
    <row r="535" spans="5:5" x14ac:dyDescent="0.25">
      <c r="E535">
        <v>1</v>
      </c>
    </row>
    <row r="536" spans="5:5" x14ac:dyDescent="0.25">
      <c r="E536">
        <v>1</v>
      </c>
    </row>
    <row r="537" spans="5:5" x14ac:dyDescent="0.25">
      <c r="E537">
        <v>1</v>
      </c>
    </row>
    <row r="538" spans="5:5" x14ac:dyDescent="0.25">
      <c r="E538">
        <v>1</v>
      </c>
    </row>
    <row r="539" spans="5:5" x14ac:dyDescent="0.25">
      <c r="E539">
        <v>1</v>
      </c>
    </row>
    <row r="540" spans="5:5" x14ac:dyDescent="0.25">
      <c r="E540">
        <v>1</v>
      </c>
    </row>
    <row r="541" spans="5:5" x14ac:dyDescent="0.25">
      <c r="E541">
        <v>1</v>
      </c>
    </row>
    <row r="542" spans="5:5" x14ac:dyDescent="0.25">
      <c r="E542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50F6-0B8A-4A14-B02B-013642C0C3D1}">
  <sheetPr codeName="Planilha3"/>
  <dimension ref="A1:J201"/>
  <sheetViews>
    <sheetView zoomScaleNormal="100" workbookViewId="0">
      <selection activeCell="M3" sqref="M3"/>
    </sheetView>
  </sheetViews>
  <sheetFormatPr defaultRowHeight="15" x14ac:dyDescent="0.25"/>
  <cols>
    <col min="1" max="1" width="12.7109375" bestFit="1" customWidth="1"/>
    <col min="2" max="2" width="5.85546875" bestFit="1" customWidth="1"/>
    <col min="3" max="3" width="5.28515625" bestFit="1" customWidth="1"/>
    <col min="4" max="4" width="7.7109375" bestFit="1" customWidth="1"/>
    <col min="5" max="5" width="11.28515625" bestFit="1" customWidth="1"/>
  </cols>
  <sheetData>
    <row r="1" spans="1:10" x14ac:dyDescent="0.25">
      <c r="A1" t="s">
        <v>0</v>
      </c>
      <c r="B1" t="s">
        <v>1</v>
      </c>
      <c r="C1" t="s">
        <v>11</v>
      </c>
      <c r="D1" t="s">
        <v>12</v>
      </c>
      <c r="E1" t="s">
        <v>13</v>
      </c>
    </row>
    <row r="2" spans="1:10" x14ac:dyDescent="0.25">
      <c r="A2">
        <v>1</v>
      </c>
      <c r="B2">
        <v>1</v>
      </c>
      <c r="C2">
        <v>1</v>
      </c>
      <c r="D2" t="s">
        <v>14</v>
      </c>
      <c r="E2">
        <f>'Peso dos Apartamentos'!H2 * 'Peso das Vagas'!F2 * 'Histórico dos Sorteios'!E2</f>
        <v>20</v>
      </c>
      <c r="F2">
        <v>20</v>
      </c>
      <c r="G2">
        <f>$H$2*I2</f>
        <v>20</v>
      </c>
      <c r="H2">
        <v>5</v>
      </c>
      <c r="I2">
        <v>4</v>
      </c>
      <c r="J2">
        <v>1</v>
      </c>
    </row>
    <row r="3" spans="1:10" x14ac:dyDescent="0.25">
      <c r="A3">
        <v>1</v>
      </c>
      <c r="B3">
        <v>1</v>
      </c>
      <c r="C3">
        <v>2</v>
      </c>
      <c r="D3" t="s">
        <v>15</v>
      </c>
      <c r="E3">
        <f>'Peso dos Apartamentos'!H2 * 'Peso das Vagas'!F3 * 'Histórico dos Sorteios'!E3</f>
        <v>25</v>
      </c>
      <c r="F3">
        <v>25</v>
      </c>
      <c r="G3">
        <f>$H$2*I3</f>
        <v>25</v>
      </c>
      <c r="H3">
        <v>5</v>
      </c>
      <c r="I3">
        <v>5</v>
      </c>
      <c r="J3">
        <v>1</v>
      </c>
    </row>
    <row r="4" spans="1:10" x14ac:dyDescent="0.25">
      <c r="A4">
        <v>1</v>
      </c>
      <c r="B4">
        <v>1</v>
      </c>
      <c r="C4">
        <v>3</v>
      </c>
      <c r="D4" t="s">
        <v>16</v>
      </c>
      <c r="E4">
        <f>'Peso dos Apartamentos'!H2 * 'Peso das Vagas'!F4 * 'Histórico dos Sorteios'!E4</f>
        <v>30</v>
      </c>
      <c r="F4">
        <v>30</v>
      </c>
      <c r="G4">
        <f>$H$2*I4</f>
        <v>30</v>
      </c>
      <c r="H4">
        <v>5</v>
      </c>
      <c r="I4">
        <v>6</v>
      </c>
      <c r="J4">
        <v>1</v>
      </c>
    </row>
    <row r="5" spans="1:10" x14ac:dyDescent="0.25">
      <c r="A5">
        <v>1</v>
      </c>
      <c r="B5">
        <v>1</v>
      </c>
      <c r="C5">
        <v>4</v>
      </c>
      <c r="D5" t="s">
        <v>17</v>
      </c>
      <c r="E5">
        <f>'Peso dos Apartamentos'!H2 * 'Peso das Vagas'!F5 * 'Histórico dos Sorteios'!E5</f>
        <v>35</v>
      </c>
      <c r="F5">
        <v>35</v>
      </c>
      <c r="G5">
        <f>$H$2*I5</f>
        <v>35</v>
      </c>
      <c r="H5">
        <v>23</v>
      </c>
      <c r="I5">
        <v>7</v>
      </c>
      <c r="J5">
        <v>1</v>
      </c>
    </row>
    <row r="6" spans="1:10" x14ac:dyDescent="0.25">
      <c r="A6">
        <v>1</v>
      </c>
      <c r="B6">
        <v>1</v>
      </c>
      <c r="C6">
        <v>5</v>
      </c>
      <c r="D6" t="s">
        <v>18</v>
      </c>
      <c r="E6">
        <f>'Peso dos Apartamentos'!H2 * 'Peso das Vagas'!F6 * 'Histórico dos Sorteios'!E6</f>
        <v>40</v>
      </c>
      <c r="F6">
        <v>20</v>
      </c>
      <c r="G6">
        <f>$H$6*I6</f>
        <v>20</v>
      </c>
      <c r="H6">
        <v>5</v>
      </c>
      <c r="I6">
        <v>4</v>
      </c>
      <c r="J6">
        <v>1</v>
      </c>
    </row>
    <row r="7" spans="1:10" x14ac:dyDescent="0.25">
      <c r="A7">
        <v>1</v>
      </c>
      <c r="B7">
        <v>1</v>
      </c>
      <c r="C7">
        <v>6</v>
      </c>
      <c r="D7" t="s">
        <v>19</v>
      </c>
      <c r="E7">
        <f>'Peso dos Apartamentos'!H2 * 'Peso das Vagas'!F7 * 'Histórico dos Sorteios'!E7</f>
        <v>35</v>
      </c>
      <c r="F7">
        <v>25</v>
      </c>
      <c r="G7">
        <f>$H$6*I7</f>
        <v>25</v>
      </c>
      <c r="H7">
        <v>5</v>
      </c>
      <c r="I7">
        <v>5</v>
      </c>
      <c r="J7">
        <v>1</v>
      </c>
    </row>
    <row r="8" spans="1:10" x14ac:dyDescent="0.25">
      <c r="A8">
        <v>1</v>
      </c>
      <c r="B8">
        <v>1</v>
      </c>
      <c r="C8">
        <v>7</v>
      </c>
      <c r="D8" t="s">
        <v>20</v>
      </c>
      <c r="E8">
        <f>'Peso dos Apartamentos'!H2 * 'Peso das Vagas'!F8 * 'Histórico dos Sorteios'!E8</f>
        <v>30</v>
      </c>
      <c r="F8">
        <v>30</v>
      </c>
      <c r="G8">
        <f>$H$6*I8</f>
        <v>30</v>
      </c>
      <c r="H8">
        <v>5</v>
      </c>
      <c r="I8">
        <v>6</v>
      </c>
      <c r="J8">
        <v>1</v>
      </c>
    </row>
    <row r="9" spans="1:10" x14ac:dyDescent="0.25">
      <c r="A9">
        <v>1</v>
      </c>
      <c r="B9">
        <v>1</v>
      </c>
      <c r="C9">
        <v>8</v>
      </c>
      <c r="D9" t="s">
        <v>21</v>
      </c>
      <c r="E9">
        <f>'Peso dos Apartamentos'!H2 * 'Peso das Vagas'!F9 * 'Histórico dos Sorteios'!E9</f>
        <v>25</v>
      </c>
      <c r="F9">
        <v>35</v>
      </c>
      <c r="G9">
        <f>$H$6*I9</f>
        <v>35</v>
      </c>
      <c r="H9">
        <v>5</v>
      </c>
      <c r="I9">
        <v>7</v>
      </c>
      <c r="J9">
        <v>1</v>
      </c>
    </row>
    <row r="10" spans="1:10" x14ac:dyDescent="0.25">
      <c r="A10">
        <v>1</v>
      </c>
      <c r="B10">
        <v>1</v>
      </c>
      <c r="C10">
        <v>9</v>
      </c>
      <c r="D10" t="s">
        <v>22</v>
      </c>
      <c r="E10">
        <f>'Peso dos Apartamentos'!H2 * 'Peso das Vagas'!F10 * 'Histórico dos Sorteios'!E10</f>
        <v>20</v>
      </c>
      <c r="F10">
        <v>20</v>
      </c>
      <c r="G10">
        <f>$H$3*I2</f>
        <v>20</v>
      </c>
      <c r="H10">
        <v>1</v>
      </c>
      <c r="I10">
        <v>1</v>
      </c>
      <c r="J10">
        <v>1</v>
      </c>
    </row>
    <row r="11" spans="1:10" x14ac:dyDescent="0.25">
      <c r="A11">
        <v>1</v>
      </c>
      <c r="B11">
        <v>1</v>
      </c>
      <c r="C11">
        <v>10</v>
      </c>
      <c r="D11" t="s">
        <v>23</v>
      </c>
      <c r="E11">
        <f>'Peso dos Apartamentos'!H2 * 'Peso das Vagas'!F11 * 'Histórico dos Sorteios'!E11</f>
        <v>15</v>
      </c>
      <c r="F11">
        <v>25</v>
      </c>
      <c r="G11">
        <f t="shared" ref="G11:G12" si="0">$H$3*I3</f>
        <v>25</v>
      </c>
      <c r="H11">
        <v>1</v>
      </c>
      <c r="I11">
        <v>1</v>
      </c>
      <c r="J11">
        <v>1</v>
      </c>
    </row>
    <row r="12" spans="1:10" x14ac:dyDescent="0.25">
      <c r="A12">
        <v>1</v>
      </c>
      <c r="B12">
        <v>2</v>
      </c>
      <c r="C12">
        <v>1</v>
      </c>
      <c r="D12" t="s">
        <v>24</v>
      </c>
      <c r="E12">
        <f>'Peso dos Apartamentos'!H12 * 'Peso das Vagas'!F12 * 'Histórico dos Sorteios'!E12</f>
        <v>20</v>
      </c>
      <c r="F12">
        <v>30</v>
      </c>
      <c r="G12">
        <f t="shared" si="0"/>
        <v>30</v>
      </c>
      <c r="H12">
        <v>1</v>
      </c>
      <c r="I12">
        <v>1</v>
      </c>
      <c r="J12">
        <v>1</v>
      </c>
    </row>
    <row r="13" spans="1:10" x14ac:dyDescent="0.25">
      <c r="A13">
        <v>1</v>
      </c>
      <c r="B13">
        <v>2</v>
      </c>
      <c r="C13">
        <v>2</v>
      </c>
      <c r="D13" t="s">
        <v>25</v>
      </c>
      <c r="E13">
        <f>'Peso dos Apartamentos'!H12 * 'Peso das Vagas'!F13 * 'Histórico dos Sorteios'!E13</f>
        <v>25</v>
      </c>
      <c r="F13">
        <v>35</v>
      </c>
      <c r="G13">
        <f>$H$3*I5</f>
        <v>35</v>
      </c>
      <c r="H13">
        <v>1</v>
      </c>
      <c r="I13">
        <v>1</v>
      </c>
      <c r="J13">
        <v>1</v>
      </c>
    </row>
    <row r="14" spans="1:10" x14ac:dyDescent="0.25">
      <c r="A14">
        <v>1</v>
      </c>
      <c r="B14">
        <v>2</v>
      </c>
      <c r="C14">
        <v>3</v>
      </c>
      <c r="D14" t="s">
        <v>26</v>
      </c>
      <c r="E14">
        <f>'Peso dos Apartamentos'!H12 * 'Peso das Vagas'!F14 * 'Histórico dos Sorteios'!E14</f>
        <v>30</v>
      </c>
      <c r="F14">
        <v>20</v>
      </c>
      <c r="G14">
        <f>$H$7*I6</f>
        <v>20</v>
      </c>
      <c r="J14">
        <v>1</v>
      </c>
    </row>
    <row r="15" spans="1:10" x14ac:dyDescent="0.25">
      <c r="A15">
        <v>1</v>
      </c>
      <c r="B15">
        <v>2</v>
      </c>
      <c r="C15">
        <v>4</v>
      </c>
      <c r="D15" t="s">
        <v>27</v>
      </c>
      <c r="E15">
        <f>'Peso dos Apartamentos'!H12 * 'Peso das Vagas'!F15 * 'Histórico dos Sorteios'!E15</f>
        <v>35</v>
      </c>
      <c r="F15">
        <v>25</v>
      </c>
      <c r="G15">
        <f>$H$7*I7</f>
        <v>25</v>
      </c>
      <c r="J15">
        <v>1</v>
      </c>
    </row>
    <row r="16" spans="1:10" x14ac:dyDescent="0.25">
      <c r="A16">
        <v>1</v>
      </c>
      <c r="B16">
        <v>2</v>
      </c>
      <c r="C16">
        <v>5</v>
      </c>
      <c r="D16" t="s">
        <v>28</v>
      </c>
      <c r="E16">
        <f>'Peso dos Apartamentos'!H12 * 'Peso das Vagas'!F16 * 'Histórico dos Sorteios'!E16</f>
        <v>40</v>
      </c>
      <c r="F16">
        <v>30</v>
      </c>
      <c r="G16">
        <f>$H$7*I8</f>
        <v>30</v>
      </c>
      <c r="J16">
        <v>1</v>
      </c>
    </row>
    <row r="17" spans="1:10" x14ac:dyDescent="0.25">
      <c r="A17">
        <v>1</v>
      </c>
      <c r="B17">
        <v>2</v>
      </c>
      <c r="C17">
        <v>6</v>
      </c>
      <c r="D17" t="s">
        <v>29</v>
      </c>
      <c r="E17">
        <f>'Peso dos Apartamentos'!H12 * 'Peso das Vagas'!F17 * 'Histórico dos Sorteios'!E17</f>
        <v>35</v>
      </c>
      <c r="F17">
        <v>35</v>
      </c>
      <c r="G17">
        <f>$H$7*I9</f>
        <v>35</v>
      </c>
      <c r="J17">
        <v>1</v>
      </c>
    </row>
    <row r="18" spans="1:10" x14ac:dyDescent="0.25">
      <c r="A18">
        <v>1</v>
      </c>
      <c r="B18">
        <v>2</v>
      </c>
      <c r="C18">
        <v>7</v>
      </c>
      <c r="D18" t="s">
        <v>30</v>
      </c>
      <c r="E18">
        <f>'Peso dos Apartamentos'!H12 * 'Peso das Vagas'!F18 * 'Histórico dos Sorteios'!E18</f>
        <v>30</v>
      </c>
      <c r="F18">
        <v>20</v>
      </c>
      <c r="G18">
        <f>$H$4*I2</f>
        <v>20</v>
      </c>
      <c r="J18">
        <v>1</v>
      </c>
    </row>
    <row r="19" spans="1:10" x14ac:dyDescent="0.25">
      <c r="A19">
        <v>1</v>
      </c>
      <c r="B19">
        <v>2</v>
      </c>
      <c r="C19">
        <v>8</v>
      </c>
      <c r="D19" t="s">
        <v>31</v>
      </c>
      <c r="E19">
        <f>'Peso dos Apartamentos'!H12 * 'Peso das Vagas'!F19 * 'Histórico dos Sorteios'!E19</f>
        <v>25</v>
      </c>
      <c r="F19">
        <v>25</v>
      </c>
      <c r="G19">
        <f t="shared" ref="G19:G21" si="1">$H$4*I3</f>
        <v>25</v>
      </c>
      <c r="J19">
        <v>1</v>
      </c>
    </row>
    <row r="20" spans="1:10" x14ac:dyDescent="0.25">
      <c r="A20">
        <v>1</v>
      </c>
      <c r="B20">
        <v>2</v>
      </c>
      <c r="C20">
        <v>9</v>
      </c>
      <c r="D20" t="s">
        <v>32</v>
      </c>
      <c r="E20">
        <f>'Peso dos Apartamentos'!H12 * 'Peso das Vagas'!F20 * 'Histórico dos Sorteios'!E20</f>
        <v>20</v>
      </c>
      <c r="F20">
        <v>30</v>
      </c>
      <c r="G20">
        <f t="shared" si="1"/>
        <v>30</v>
      </c>
      <c r="J20">
        <v>1</v>
      </c>
    </row>
    <row r="21" spans="1:10" x14ac:dyDescent="0.25">
      <c r="A21">
        <v>1</v>
      </c>
      <c r="B21">
        <v>2</v>
      </c>
      <c r="C21">
        <v>10</v>
      </c>
      <c r="D21" t="s">
        <v>33</v>
      </c>
      <c r="E21">
        <f>'Peso dos Apartamentos'!H12 * 'Peso das Vagas'!F21 * 'Histórico dos Sorteios'!E21</f>
        <v>15</v>
      </c>
      <c r="F21">
        <v>35</v>
      </c>
      <c r="G21">
        <f t="shared" si="1"/>
        <v>35</v>
      </c>
      <c r="J21">
        <v>1</v>
      </c>
    </row>
    <row r="22" spans="1:10" x14ac:dyDescent="0.25">
      <c r="A22">
        <v>2</v>
      </c>
      <c r="B22">
        <v>1</v>
      </c>
      <c r="C22">
        <v>1</v>
      </c>
      <c r="D22" t="s">
        <v>34</v>
      </c>
      <c r="E22">
        <f>'Peso dos Apartamentos'!H3 * 'Peso das Vagas'!F2 * 'Histórico dos Sorteios'!E22</f>
        <v>20</v>
      </c>
      <c r="F22">
        <v>20</v>
      </c>
      <c r="G22">
        <f>$H$8*I6</f>
        <v>20</v>
      </c>
      <c r="J22">
        <v>1</v>
      </c>
    </row>
    <row r="23" spans="1:10" x14ac:dyDescent="0.25">
      <c r="A23">
        <v>2</v>
      </c>
      <c r="B23">
        <v>1</v>
      </c>
      <c r="C23">
        <v>2</v>
      </c>
      <c r="D23" t="s">
        <v>35</v>
      </c>
      <c r="E23">
        <f>'Peso dos Apartamentos'!H3 * 'Peso das Vagas'!F3 * 'Histórico dos Sorteios'!E23</f>
        <v>25</v>
      </c>
      <c r="F23">
        <v>25</v>
      </c>
      <c r="G23">
        <f>$H$8*I7</f>
        <v>25</v>
      </c>
      <c r="J23">
        <v>1</v>
      </c>
    </row>
    <row r="24" spans="1:10" x14ac:dyDescent="0.25">
      <c r="A24">
        <v>2</v>
      </c>
      <c r="B24">
        <v>1</v>
      </c>
      <c r="C24">
        <v>3</v>
      </c>
      <c r="D24" t="s">
        <v>36</v>
      </c>
      <c r="E24">
        <f>'Peso dos Apartamentos'!H3 * 'Peso das Vagas'!F4 * 'Histórico dos Sorteios'!E24</f>
        <v>30</v>
      </c>
      <c r="F24">
        <v>30</v>
      </c>
      <c r="G24">
        <f>$H$8*I8</f>
        <v>30</v>
      </c>
      <c r="J24">
        <v>1</v>
      </c>
    </row>
    <row r="25" spans="1:10" x14ac:dyDescent="0.25">
      <c r="A25">
        <v>2</v>
      </c>
      <c r="B25">
        <v>1</v>
      </c>
      <c r="C25">
        <v>4</v>
      </c>
      <c r="D25" t="s">
        <v>37</v>
      </c>
      <c r="E25">
        <f>'Peso dos Apartamentos'!H3 * 'Peso das Vagas'!F5 * 'Histórico dos Sorteios'!E25</f>
        <v>35</v>
      </c>
      <c r="F25">
        <v>35</v>
      </c>
      <c r="G25">
        <f>$H$8*I9</f>
        <v>35</v>
      </c>
      <c r="J25">
        <v>1</v>
      </c>
    </row>
    <row r="26" spans="1:10" x14ac:dyDescent="0.25">
      <c r="A26">
        <v>2</v>
      </c>
      <c r="B26">
        <v>1</v>
      </c>
      <c r="C26">
        <v>5</v>
      </c>
      <c r="D26" t="s">
        <v>38</v>
      </c>
      <c r="E26">
        <f>'Peso dos Apartamentos'!H3 * 'Peso das Vagas'!F6 * 'Histórico dos Sorteios'!E26</f>
        <v>40</v>
      </c>
      <c r="F26">
        <v>92</v>
      </c>
      <c r="G26">
        <f>$H$5*I2</f>
        <v>92</v>
      </c>
      <c r="J26">
        <v>1</v>
      </c>
    </row>
    <row r="27" spans="1:10" x14ac:dyDescent="0.25">
      <c r="A27">
        <v>2</v>
      </c>
      <c r="B27">
        <v>1</v>
      </c>
      <c r="C27">
        <v>6</v>
      </c>
      <c r="D27" t="s">
        <v>39</v>
      </c>
      <c r="E27">
        <f>'Peso dos Apartamentos'!H3 * 'Peso das Vagas'!F7 * 'Histórico dos Sorteios'!E27</f>
        <v>35</v>
      </c>
      <c r="F27">
        <v>115</v>
      </c>
      <c r="G27">
        <f t="shared" ref="G27:G29" si="2">$H$5*I3</f>
        <v>115</v>
      </c>
      <c r="J27">
        <v>1</v>
      </c>
    </row>
    <row r="28" spans="1:10" x14ac:dyDescent="0.25">
      <c r="A28">
        <v>2</v>
      </c>
      <c r="B28">
        <v>1</v>
      </c>
      <c r="C28">
        <v>7</v>
      </c>
      <c r="D28" t="s">
        <v>40</v>
      </c>
      <c r="E28">
        <f>'Peso dos Apartamentos'!H3 * 'Peso das Vagas'!F8 * 'Histórico dos Sorteios'!E28</f>
        <v>30</v>
      </c>
      <c r="F28">
        <v>138</v>
      </c>
      <c r="G28">
        <f t="shared" si="2"/>
        <v>138</v>
      </c>
      <c r="J28">
        <v>1</v>
      </c>
    </row>
    <row r="29" spans="1:10" x14ac:dyDescent="0.25">
      <c r="A29">
        <v>2</v>
      </c>
      <c r="B29">
        <v>1</v>
      </c>
      <c r="C29">
        <v>8</v>
      </c>
      <c r="D29" t="s">
        <v>41</v>
      </c>
      <c r="E29">
        <f>'Peso dos Apartamentos'!H3 * 'Peso das Vagas'!F9 * 'Histórico dos Sorteios'!E29</f>
        <v>25</v>
      </c>
      <c r="F29">
        <v>161</v>
      </c>
      <c r="G29">
        <f t="shared" si="2"/>
        <v>161</v>
      </c>
      <c r="J29">
        <v>1</v>
      </c>
    </row>
    <row r="30" spans="1:10" x14ac:dyDescent="0.25">
      <c r="A30">
        <v>2</v>
      </c>
      <c r="B30">
        <v>1</v>
      </c>
      <c r="C30">
        <v>9</v>
      </c>
      <c r="D30" t="s">
        <v>42</v>
      </c>
      <c r="E30">
        <f>'Peso dos Apartamentos'!H3 * 'Peso das Vagas'!F10 * 'Histórico dos Sorteios'!E30</f>
        <v>20</v>
      </c>
      <c r="F30">
        <v>20</v>
      </c>
      <c r="G30">
        <f>$H$9*I6</f>
        <v>20</v>
      </c>
      <c r="J30">
        <v>1</v>
      </c>
    </row>
    <row r="31" spans="1:10" x14ac:dyDescent="0.25">
      <c r="A31">
        <v>2</v>
      </c>
      <c r="B31">
        <v>1</v>
      </c>
      <c r="C31">
        <v>10</v>
      </c>
      <c r="D31" t="s">
        <v>43</v>
      </c>
      <c r="E31">
        <f>'Peso dos Apartamentos'!H3 * 'Peso das Vagas'!F11 * 'Histórico dos Sorteios'!E31</f>
        <v>15</v>
      </c>
      <c r="F31">
        <v>25</v>
      </c>
      <c r="G31">
        <f>$H$9*I7</f>
        <v>25</v>
      </c>
      <c r="J31">
        <v>1</v>
      </c>
    </row>
    <row r="32" spans="1:10" x14ac:dyDescent="0.25">
      <c r="A32">
        <v>2</v>
      </c>
      <c r="B32">
        <v>2</v>
      </c>
      <c r="C32">
        <v>1</v>
      </c>
      <c r="D32" t="s">
        <v>44</v>
      </c>
      <c r="E32">
        <f>'Peso dos Apartamentos'!H13 * 'Peso das Vagas'!F12 * 'Histórico dos Sorteios'!E32</f>
        <v>20</v>
      </c>
      <c r="F32">
        <v>30</v>
      </c>
      <c r="G32">
        <f>$H$9*I8</f>
        <v>30</v>
      </c>
      <c r="J32">
        <v>1</v>
      </c>
    </row>
    <row r="33" spans="1:10" x14ac:dyDescent="0.25">
      <c r="A33">
        <v>2</v>
      </c>
      <c r="B33">
        <v>2</v>
      </c>
      <c r="C33">
        <v>2</v>
      </c>
      <c r="D33" t="s">
        <v>45</v>
      </c>
      <c r="E33">
        <f>'Peso dos Apartamentos'!H13 * 'Peso das Vagas'!F13 * 'Histórico dos Sorteios'!E33</f>
        <v>25</v>
      </c>
      <c r="F33">
        <v>35</v>
      </c>
      <c r="G33">
        <f>$H$9*I9</f>
        <v>35</v>
      </c>
      <c r="J33">
        <v>1</v>
      </c>
    </row>
    <row r="34" spans="1:10" x14ac:dyDescent="0.25">
      <c r="A34">
        <v>2</v>
      </c>
      <c r="B34">
        <v>2</v>
      </c>
      <c r="C34">
        <v>3</v>
      </c>
      <c r="D34" t="s">
        <v>46</v>
      </c>
      <c r="E34">
        <f>'Peso dos Apartamentos'!H13 * 'Peso das Vagas'!F14 * 'Histórico dos Sorteios'!E34</f>
        <v>30</v>
      </c>
      <c r="J34">
        <v>1</v>
      </c>
    </row>
    <row r="35" spans="1:10" x14ac:dyDescent="0.25">
      <c r="A35">
        <v>2</v>
      </c>
      <c r="B35">
        <v>2</v>
      </c>
      <c r="C35">
        <v>4</v>
      </c>
      <c r="D35" t="s">
        <v>47</v>
      </c>
      <c r="E35">
        <f>'Peso dos Apartamentos'!H13 * 'Peso das Vagas'!F15 * 'Histórico dos Sorteios'!E35</f>
        <v>35</v>
      </c>
      <c r="J35">
        <v>1</v>
      </c>
    </row>
    <row r="36" spans="1:10" x14ac:dyDescent="0.25">
      <c r="A36">
        <v>2</v>
      </c>
      <c r="B36">
        <v>2</v>
      </c>
      <c r="C36">
        <v>5</v>
      </c>
      <c r="D36" t="s">
        <v>48</v>
      </c>
      <c r="E36">
        <f>'Peso dos Apartamentos'!H13 * 'Peso das Vagas'!F16 * 'Histórico dos Sorteios'!E36</f>
        <v>40</v>
      </c>
      <c r="J36">
        <v>1</v>
      </c>
    </row>
    <row r="37" spans="1:10" x14ac:dyDescent="0.25">
      <c r="A37">
        <v>2</v>
      </c>
      <c r="B37">
        <v>2</v>
      </c>
      <c r="C37">
        <v>6</v>
      </c>
      <c r="D37" t="s">
        <v>49</v>
      </c>
      <c r="E37">
        <f>'Peso dos Apartamentos'!H13 * 'Peso das Vagas'!F17 * 'Histórico dos Sorteios'!E37</f>
        <v>35</v>
      </c>
      <c r="J37">
        <v>1</v>
      </c>
    </row>
    <row r="38" spans="1:10" x14ac:dyDescent="0.25">
      <c r="A38">
        <v>2</v>
      </c>
      <c r="B38">
        <v>2</v>
      </c>
      <c r="C38">
        <v>7</v>
      </c>
      <c r="D38" t="s">
        <v>50</v>
      </c>
      <c r="E38">
        <f>'Peso dos Apartamentos'!H13 * 'Peso das Vagas'!F18 * 'Histórico dos Sorteios'!E38</f>
        <v>30</v>
      </c>
      <c r="J38">
        <v>1</v>
      </c>
    </row>
    <row r="39" spans="1:10" x14ac:dyDescent="0.25">
      <c r="A39">
        <v>2</v>
      </c>
      <c r="B39">
        <v>2</v>
      </c>
      <c r="C39">
        <v>8</v>
      </c>
      <c r="D39" t="s">
        <v>51</v>
      </c>
      <c r="E39">
        <f>'Peso dos Apartamentos'!H13 * 'Peso das Vagas'!F19 * 'Histórico dos Sorteios'!E39</f>
        <v>25</v>
      </c>
      <c r="J39">
        <v>1</v>
      </c>
    </row>
    <row r="40" spans="1:10" x14ac:dyDescent="0.25">
      <c r="A40">
        <v>2</v>
      </c>
      <c r="B40">
        <v>2</v>
      </c>
      <c r="C40">
        <v>9</v>
      </c>
      <c r="D40" t="s">
        <v>52</v>
      </c>
      <c r="E40">
        <f>'Peso dos Apartamentos'!H13 * 'Peso das Vagas'!F20 * 'Histórico dos Sorteios'!E40</f>
        <v>20</v>
      </c>
      <c r="J40">
        <v>1</v>
      </c>
    </row>
    <row r="41" spans="1:10" x14ac:dyDescent="0.25">
      <c r="A41">
        <v>2</v>
      </c>
      <c r="B41">
        <v>2</v>
      </c>
      <c r="C41">
        <v>10</v>
      </c>
      <c r="D41" t="s">
        <v>53</v>
      </c>
      <c r="E41">
        <f>'Peso dos Apartamentos'!H13 * 'Peso das Vagas'!F21 * 'Histórico dos Sorteios'!E41</f>
        <v>15</v>
      </c>
      <c r="J41">
        <v>1</v>
      </c>
    </row>
    <row r="42" spans="1:10" x14ac:dyDescent="0.25">
      <c r="A42">
        <v>3</v>
      </c>
      <c r="B42">
        <v>1</v>
      </c>
      <c r="C42">
        <v>1</v>
      </c>
      <c r="D42" t="s">
        <v>54</v>
      </c>
      <c r="E42">
        <f>'Peso dos Apartamentos'!H4 * 'Peso das Vagas'!F2 * 'Histórico dos Sorteios'!E42</f>
        <v>20</v>
      </c>
      <c r="J42">
        <v>1</v>
      </c>
    </row>
    <row r="43" spans="1:10" x14ac:dyDescent="0.25">
      <c r="A43">
        <v>3</v>
      </c>
      <c r="B43">
        <v>1</v>
      </c>
      <c r="C43">
        <v>2</v>
      </c>
      <c r="D43" t="s">
        <v>55</v>
      </c>
      <c r="E43">
        <f>'Peso dos Apartamentos'!H4 * 'Peso das Vagas'!F3 * 'Histórico dos Sorteios'!E43</f>
        <v>25</v>
      </c>
      <c r="J43">
        <v>1</v>
      </c>
    </row>
    <row r="44" spans="1:10" x14ac:dyDescent="0.25">
      <c r="A44">
        <v>3</v>
      </c>
      <c r="B44">
        <v>1</v>
      </c>
      <c r="C44">
        <v>3</v>
      </c>
      <c r="D44" t="s">
        <v>56</v>
      </c>
      <c r="E44">
        <f>'Peso dos Apartamentos'!H4 * 'Peso das Vagas'!F4 * 'Histórico dos Sorteios'!E44</f>
        <v>30</v>
      </c>
      <c r="J44">
        <v>1</v>
      </c>
    </row>
    <row r="45" spans="1:10" x14ac:dyDescent="0.25">
      <c r="A45">
        <v>3</v>
      </c>
      <c r="B45">
        <v>1</v>
      </c>
      <c r="C45">
        <v>4</v>
      </c>
      <c r="D45" t="s">
        <v>57</v>
      </c>
      <c r="E45">
        <f>'Peso dos Apartamentos'!H4 * 'Peso das Vagas'!F5 * 'Histórico dos Sorteios'!E45</f>
        <v>35</v>
      </c>
      <c r="J45">
        <v>1</v>
      </c>
    </row>
    <row r="46" spans="1:10" x14ac:dyDescent="0.25">
      <c r="A46">
        <v>3</v>
      </c>
      <c r="B46">
        <v>1</v>
      </c>
      <c r="C46">
        <v>5</v>
      </c>
      <c r="D46" t="s">
        <v>58</v>
      </c>
      <c r="E46">
        <f>'Peso dos Apartamentos'!H4 * 'Peso das Vagas'!F6 * 'Histórico dos Sorteios'!E46</f>
        <v>40</v>
      </c>
      <c r="J46">
        <v>1</v>
      </c>
    </row>
    <row r="47" spans="1:10" x14ac:dyDescent="0.25">
      <c r="A47">
        <v>3</v>
      </c>
      <c r="B47">
        <v>1</v>
      </c>
      <c r="C47">
        <v>6</v>
      </c>
      <c r="D47" t="s">
        <v>59</v>
      </c>
      <c r="E47">
        <f>'Peso dos Apartamentos'!H4 * 'Peso das Vagas'!F7 * 'Histórico dos Sorteios'!E47</f>
        <v>35</v>
      </c>
      <c r="J47">
        <v>1</v>
      </c>
    </row>
    <row r="48" spans="1:10" x14ac:dyDescent="0.25">
      <c r="A48">
        <v>3</v>
      </c>
      <c r="B48">
        <v>1</v>
      </c>
      <c r="C48">
        <v>7</v>
      </c>
      <c r="D48" t="s">
        <v>60</v>
      </c>
      <c r="E48">
        <f>'Peso dos Apartamentos'!H4 * 'Peso das Vagas'!F8 * 'Histórico dos Sorteios'!E48</f>
        <v>30</v>
      </c>
      <c r="J48">
        <v>1</v>
      </c>
    </row>
    <row r="49" spans="1:10" x14ac:dyDescent="0.25">
      <c r="A49">
        <v>3</v>
      </c>
      <c r="B49">
        <v>1</v>
      </c>
      <c r="C49">
        <v>8</v>
      </c>
      <c r="D49" t="s">
        <v>61</v>
      </c>
      <c r="E49">
        <f>'Peso dos Apartamentos'!H4 * 'Peso das Vagas'!F9 * 'Histórico dos Sorteios'!E49</f>
        <v>25</v>
      </c>
      <c r="J49">
        <v>1</v>
      </c>
    </row>
    <row r="50" spans="1:10" x14ac:dyDescent="0.25">
      <c r="A50">
        <v>3</v>
      </c>
      <c r="B50">
        <v>1</v>
      </c>
      <c r="C50">
        <v>9</v>
      </c>
      <c r="D50" t="s">
        <v>62</v>
      </c>
      <c r="E50">
        <f>'Peso dos Apartamentos'!H4 * 'Peso das Vagas'!F10 * 'Histórico dos Sorteios'!E50</f>
        <v>20</v>
      </c>
    </row>
    <row r="51" spans="1:10" x14ac:dyDescent="0.25">
      <c r="A51">
        <v>3</v>
      </c>
      <c r="B51">
        <v>1</v>
      </c>
      <c r="C51">
        <v>10</v>
      </c>
      <c r="D51" t="s">
        <v>63</v>
      </c>
      <c r="E51">
        <f>'Peso dos Apartamentos'!H4 * 'Peso das Vagas'!F11 * 'Histórico dos Sorteios'!E51</f>
        <v>15</v>
      </c>
    </row>
    <row r="52" spans="1:10" x14ac:dyDescent="0.25">
      <c r="A52">
        <v>3</v>
      </c>
      <c r="B52">
        <v>2</v>
      </c>
      <c r="C52">
        <v>1</v>
      </c>
      <c r="D52" t="s">
        <v>64</v>
      </c>
      <c r="E52">
        <f>'Peso dos Apartamentos'!H14 * 'Peso das Vagas'!F12 * 'Histórico dos Sorteios'!E52</f>
        <v>20</v>
      </c>
    </row>
    <row r="53" spans="1:10" x14ac:dyDescent="0.25">
      <c r="A53">
        <v>3</v>
      </c>
      <c r="B53">
        <v>2</v>
      </c>
      <c r="C53">
        <v>2</v>
      </c>
      <c r="D53" t="s">
        <v>65</v>
      </c>
      <c r="E53">
        <f>'Peso dos Apartamentos'!H14 * 'Peso das Vagas'!F13 * 'Histórico dos Sorteios'!E53</f>
        <v>25</v>
      </c>
    </row>
    <row r="54" spans="1:10" x14ac:dyDescent="0.25">
      <c r="A54">
        <v>3</v>
      </c>
      <c r="B54">
        <v>2</v>
      </c>
      <c r="C54">
        <v>3</v>
      </c>
      <c r="D54" t="s">
        <v>66</v>
      </c>
      <c r="E54">
        <f>'Peso dos Apartamentos'!H14 * 'Peso das Vagas'!F14 * 'Histórico dos Sorteios'!E54</f>
        <v>30</v>
      </c>
    </row>
    <row r="55" spans="1:10" x14ac:dyDescent="0.25">
      <c r="A55">
        <v>3</v>
      </c>
      <c r="B55">
        <v>2</v>
      </c>
      <c r="C55">
        <v>4</v>
      </c>
      <c r="D55" t="s">
        <v>67</v>
      </c>
      <c r="E55">
        <f>'Peso dos Apartamentos'!H14 * 'Peso das Vagas'!F15 * 'Histórico dos Sorteios'!E55</f>
        <v>35</v>
      </c>
    </row>
    <row r="56" spans="1:10" x14ac:dyDescent="0.25">
      <c r="A56">
        <v>3</v>
      </c>
      <c r="B56">
        <v>2</v>
      </c>
      <c r="C56">
        <v>5</v>
      </c>
      <c r="D56" t="s">
        <v>68</v>
      </c>
      <c r="E56">
        <f>'Peso dos Apartamentos'!H14 * 'Peso das Vagas'!F16 * 'Histórico dos Sorteios'!E56</f>
        <v>40</v>
      </c>
    </row>
    <row r="57" spans="1:10" x14ac:dyDescent="0.25">
      <c r="A57">
        <v>3</v>
      </c>
      <c r="B57">
        <v>2</v>
      </c>
      <c r="C57">
        <v>6</v>
      </c>
      <c r="D57" t="s">
        <v>69</v>
      </c>
      <c r="E57">
        <f>'Peso dos Apartamentos'!H14 * 'Peso das Vagas'!F17 * 'Histórico dos Sorteios'!E57</f>
        <v>35</v>
      </c>
    </row>
    <row r="58" spans="1:10" x14ac:dyDescent="0.25">
      <c r="A58">
        <v>3</v>
      </c>
      <c r="B58">
        <v>2</v>
      </c>
      <c r="C58">
        <v>7</v>
      </c>
      <c r="D58" t="s">
        <v>70</v>
      </c>
      <c r="E58">
        <f>'Peso dos Apartamentos'!H14 * 'Peso das Vagas'!F18 * 'Histórico dos Sorteios'!E58</f>
        <v>30</v>
      </c>
    </row>
    <row r="59" spans="1:10" x14ac:dyDescent="0.25">
      <c r="A59">
        <v>3</v>
      </c>
      <c r="B59">
        <v>2</v>
      </c>
      <c r="C59">
        <v>8</v>
      </c>
      <c r="D59" t="s">
        <v>71</v>
      </c>
      <c r="E59">
        <f>'Peso dos Apartamentos'!H14 * 'Peso das Vagas'!F19 * 'Histórico dos Sorteios'!E59</f>
        <v>25</v>
      </c>
    </row>
    <row r="60" spans="1:10" x14ac:dyDescent="0.25">
      <c r="A60">
        <v>3</v>
      </c>
      <c r="B60">
        <v>2</v>
      </c>
      <c r="C60">
        <v>9</v>
      </c>
      <c r="D60" t="s">
        <v>72</v>
      </c>
      <c r="E60">
        <f>'Peso dos Apartamentos'!H14 * 'Peso das Vagas'!F20 * 'Histórico dos Sorteios'!E60</f>
        <v>20</v>
      </c>
    </row>
    <row r="61" spans="1:10" x14ac:dyDescent="0.25">
      <c r="A61">
        <v>3</v>
      </c>
      <c r="B61">
        <v>2</v>
      </c>
      <c r="C61">
        <v>10</v>
      </c>
      <c r="D61" t="s">
        <v>73</v>
      </c>
      <c r="E61">
        <f>'Peso dos Apartamentos'!H14 * 'Peso das Vagas'!F21 * 'Histórico dos Sorteios'!E61</f>
        <v>15</v>
      </c>
    </row>
    <row r="62" spans="1:10" x14ac:dyDescent="0.25">
      <c r="A62">
        <v>4</v>
      </c>
      <c r="B62">
        <v>1</v>
      </c>
      <c r="C62">
        <v>1</v>
      </c>
      <c r="D62" t="s">
        <v>74</v>
      </c>
      <c r="E62">
        <f>'Peso dos Apartamentos'!H5 * 'Peso das Vagas'!F2 * 'Histórico dos Sorteios'!E62</f>
        <v>20</v>
      </c>
    </row>
    <row r="63" spans="1:10" x14ac:dyDescent="0.25">
      <c r="A63">
        <v>4</v>
      </c>
      <c r="B63">
        <v>1</v>
      </c>
      <c r="C63">
        <v>2</v>
      </c>
      <c r="D63" t="s">
        <v>75</v>
      </c>
      <c r="E63">
        <f>'Peso dos Apartamentos'!H5 * 'Peso das Vagas'!F3 * 'Histórico dos Sorteios'!E63</f>
        <v>25</v>
      </c>
    </row>
    <row r="64" spans="1:10" x14ac:dyDescent="0.25">
      <c r="A64">
        <v>4</v>
      </c>
      <c r="B64">
        <v>1</v>
      </c>
      <c r="C64">
        <v>3</v>
      </c>
      <c r="D64" t="s">
        <v>76</v>
      </c>
      <c r="E64">
        <f>'Peso dos Apartamentos'!H5 * 'Peso das Vagas'!F4 * 'Histórico dos Sorteios'!E64</f>
        <v>30</v>
      </c>
    </row>
    <row r="65" spans="1:5" x14ac:dyDescent="0.25">
      <c r="A65">
        <v>4</v>
      </c>
      <c r="B65">
        <v>1</v>
      </c>
      <c r="C65">
        <v>4</v>
      </c>
      <c r="D65" t="s">
        <v>77</v>
      </c>
      <c r="E65">
        <f>'Peso dos Apartamentos'!H5 * 'Peso das Vagas'!F5 * 'Histórico dos Sorteios'!E65</f>
        <v>35</v>
      </c>
    </row>
    <row r="66" spans="1:5" x14ac:dyDescent="0.25">
      <c r="A66">
        <v>4</v>
      </c>
      <c r="B66">
        <v>1</v>
      </c>
      <c r="C66">
        <v>5</v>
      </c>
      <c r="D66" t="s">
        <v>78</v>
      </c>
      <c r="E66">
        <f>'Peso dos Apartamentos'!H5 * 'Peso das Vagas'!F6 * 'Histórico dos Sorteios'!E66</f>
        <v>40</v>
      </c>
    </row>
    <row r="67" spans="1:5" x14ac:dyDescent="0.25">
      <c r="A67">
        <v>4</v>
      </c>
      <c r="B67">
        <v>1</v>
      </c>
      <c r="C67">
        <v>6</v>
      </c>
      <c r="D67" t="s">
        <v>79</v>
      </c>
      <c r="E67">
        <f>'Peso dos Apartamentos'!H5 * 'Peso das Vagas'!F7 * 'Histórico dos Sorteios'!E67</f>
        <v>35</v>
      </c>
    </row>
    <row r="68" spans="1:5" x14ac:dyDescent="0.25">
      <c r="A68">
        <v>4</v>
      </c>
      <c r="B68">
        <v>1</v>
      </c>
      <c r="C68">
        <v>7</v>
      </c>
      <c r="D68" t="s">
        <v>80</v>
      </c>
      <c r="E68">
        <f>'Peso dos Apartamentos'!H5 * 'Peso das Vagas'!F8 * 'Histórico dos Sorteios'!E68</f>
        <v>30</v>
      </c>
    </row>
    <row r="69" spans="1:5" x14ac:dyDescent="0.25">
      <c r="A69">
        <v>4</v>
      </c>
      <c r="B69">
        <v>1</v>
      </c>
      <c r="C69">
        <v>8</v>
      </c>
      <c r="D69" t="s">
        <v>81</v>
      </c>
      <c r="E69">
        <f>'Peso dos Apartamentos'!H5 * 'Peso das Vagas'!F9 * 'Histórico dos Sorteios'!E69</f>
        <v>25</v>
      </c>
    </row>
    <row r="70" spans="1:5" x14ac:dyDescent="0.25">
      <c r="A70">
        <v>4</v>
      </c>
      <c r="B70">
        <v>1</v>
      </c>
      <c r="C70">
        <v>9</v>
      </c>
      <c r="D70" t="s">
        <v>82</v>
      </c>
      <c r="E70">
        <f>'Peso dos Apartamentos'!H5 * 'Peso das Vagas'!F10 * 'Histórico dos Sorteios'!E70</f>
        <v>20</v>
      </c>
    </row>
    <row r="71" spans="1:5" x14ac:dyDescent="0.25">
      <c r="A71">
        <v>4</v>
      </c>
      <c r="B71">
        <v>1</v>
      </c>
      <c r="C71">
        <v>10</v>
      </c>
      <c r="D71" t="s">
        <v>83</v>
      </c>
      <c r="E71">
        <f>'Peso dos Apartamentos'!H5 * 'Peso das Vagas'!F11 * 'Histórico dos Sorteios'!E71</f>
        <v>15</v>
      </c>
    </row>
    <row r="72" spans="1:5" x14ac:dyDescent="0.25">
      <c r="A72">
        <v>4</v>
      </c>
      <c r="B72">
        <v>2</v>
      </c>
      <c r="C72">
        <v>1</v>
      </c>
      <c r="D72" t="s">
        <v>84</v>
      </c>
      <c r="E72">
        <f>'Peso dos Apartamentos'!H15 * 'Peso das Vagas'!F12 * 'Histórico dos Sorteios'!E72</f>
        <v>20</v>
      </c>
    </row>
    <row r="73" spans="1:5" x14ac:dyDescent="0.25">
      <c r="A73">
        <v>4</v>
      </c>
      <c r="B73">
        <v>2</v>
      </c>
      <c r="C73">
        <v>2</v>
      </c>
      <c r="D73" t="s">
        <v>85</v>
      </c>
      <c r="E73">
        <f>'Peso dos Apartamentos'!H15 * 'Peso das Vagas'!F13 * 'Histórico dos Sorteios'!E73</f>
        <v>25</v>
      </c>
    </row>
    <row r="74" spans="1:5" x14ac:dyDescent="0.25">
      <c r="A74">
        <v>4</v>
      </c>
      <c r="B74">
        <v>2</v>
      </c>
      <c r="C74">
        <v>3</v>
      </c>
      <c r="D74" t="s">
        <v>86</v>
      </c>
      <c r="E74">
        <f>'Peso dos Apartamentos'!H15 * 'Peso das Vagas'!F14 * 'Histórico dos Sorteios'!E74</f>
        <v>30</v>
      </c>
    </row>
    <row r="75" spans="1:5" x14ac:dyDescent="0.25">
      <c r="A75">
        <v>4</v>
      </c>
      <c r="B75">
        <v>2</v>
      </c>
      <c r="C75">
        <v>4</v>
      </c>
      <c r="D75" t="s">
        <v>87</v>
      </c>
      <c r="E75">
        <f>'Peso dos Apartamentos'!H15 * 'Peso das Vagas'!F15 * 'Histórico dos Sorteios'!E75</f>
        <v>35</v>
      </c>
    </row>
    <row r="76" spans="1:5" x14ac:dyDescent="0.25">
      <c r="A76">
        <v>4</v>
      </c>
      <c r="B76">
        <v>2</v>
      </c>
      <c r="C76">
        <v>5</v>
      </c>
      <c r="D76" t="s">
        <v>88</v>
      </c>
      <c r="E76">
        <f>'Peso dos Apartamentos'!H15 * 'Peso das Vagas'!F16 * 'Histórico dos Sorteios'!E76</f>
        <v>40</v>
      </c>
    </row>
    <row r="77" spans="1:5" x14ac:dyDescent="0.25">
      <c r="A77">
        <v>4</v>
      </c>
      <c r="B77">
        <v>2</v>
      </c>
      <c r="C77">
        <v>6</v>
      </c>
      <c r="D77" t="s">
        <v>89</v>
      </c>
      <c r="E77">
        <f>'Peso dos Apartamentos'!H15 * 'Peso das Vagas'!F17 * 'Histórico dos Sorteios'!E77</f>
        <v>35</v>
      </c>
    </row>
    <row r="78" spans="1:5" x14ac:dyDescent="0.25">
      <c r="A78">
        <v>4</v>
      </c>
      <c r="B78">
        <v>2</v>
      </c>
      <c r="C78">
        <v>7</v>
      </c>
      <c r="D78" t="s">
        <v>90</v>
      </c>
      <c r="E78">
        <f>'Peso dos Apartamentos'!H15 * 'Peso das Vagas'!F18 * 'Histórico dos Sorteios'!E78</f>
        <v>30</v>
      </c>
    </row>
    <row r="79" spans="1:5" x14ac:dyDescent="0.25">
      <c r="A79">
        <v>4</v>
      </c>
      <c r="B79">
        <v>2</v>
      </c>
      <c r="C79">
        <v>8</v>
      </c>
      <c r="D79" t="s">
        <v>91</v>
      </c>
      <c r="E79">
        <f>'Peso dos Apartamentos'!H15 * 'Peso das Vagas'!F19 * 'Histórico dos Sorteios'!E79</f>
        <v>25</v>
      </c>
    </row>
    <row r="80" spans="1:5" x14ac:dyDescent="0.25">
      <c r="A80">
        <v>4</v>
      </c>
      <c r="B80">
        <v>2</v>
      </c>
      <c r="C80">
        <v>9</v>
      </c>
      <c r="D80" t="s">
        <v>92</v>
      </c>
      <c r="E80">
        <f>'Peso dos Apartamentos'!H15 * 'Peso das Vagas'!F20 * 'Histórico dos Sorteios'!E80</f>
        <v>20</v>
      </c>
    </row>
    <row r="81" spans="1:5" x14ac:dyDescent="0.25">
      <c r="A81">
        <v>4</v>
      </c>
      <c r="B81">
        <v>2</v>
      </c>
      <c r="C81">
        <v>10</v>
      </c>
      <c r="D81" t="s">
        <v>93</v>
      </c>
      <c r="E81">
        <f>'Peso dos Apartamentos'!H15 * 'Peso das Vagas'!F21 * 'Histórico dos Sorteios'!E81</f>
        <v>15</v>
      </c>
    </row>
    <row r="82" spans="1:5" x14ac:dyDescent="0.25">
      <c r="A82">
        <v>5</v>
      </c>
      <c r="B82">
        <v>1</v>
      </c>
      <c r="C82">
        <v>1</v>
      </c>
      <c r="D82" t="s">
        <v>94</v>
      </c>
      <c r="E82">
        <f>'Peso dos Apartamentos'!H6 * 'Peso das Vagas'!F2 * 'Histórico dos Sorteios'!E82</f>
        <v>20</v>
      </c>
    </row>
    <row r="83" spans="1:5" x14ac:dyDescent="0.25">
      <c r="A83">
        <v>5</v>
      </c>
      <c r="B83">
        <v>1</v>
      </c>
      <c r="C83">
        <v>2</v>
      </c>
      <c r="D83" t="s">
        <v>95</v>
      </c>
      <c r="E83">
        <f>'Peso dos Apartamentos'!H6 * 'Peso das Vagas'!F3 * 'Histórico dos Sorteios'!E83</f>
        <v>25</v>
      </c>
    </row>
    <row r="84" spans="1:5" x14ac:dyDescent="0.25">
      <c r="A84">
        <v>5</v>
      </c>
      <c r="B84">
        <v>1</v>
      </c>
      <c r="C84">
        <v>3</v>
      </c>
      <c r="D84" t="s">
        <v>96</v>
      </c>
      <c r="E84">
        <f>'Peso dos Apartamentos'!H6 * 'Peso das Vagas'!F4 * 'Histórico dos Sorteios'!E84</f>
        <v>30</v>
      </c>
    </row>
    <row r="85" spans="1:5" x14ac:dyDescent="0.25">
      <c r="A85">
        <v>5</v>
      </c>
      <c r="B85">
        <v>1</v>
      </c>
      <c r="C85">
        <v>4</v>
      </c>
      <c r="D85" t="s">
        <v>97</v>
      </c>
      <c r="E85">
        <f>'Peso dos Apartamentos'!H6 * 'Peso das Vagas'!F5 * 'Histórico dos Sorteios'!E85</f>
        <v>35</v>
      </c>
    </row>
    <row r="86" spans="1:5" x14ac:dyDescent="0.25">
      <c r="A86">
        <v>5</v>
      </c>
      <c r="B86">
        <v>1</v>
      </c>
      <c r="C86">
        <v>5</v>
      </c>
      <c r="D86" t="s">
        <v>98</v>
      </c>
      <c r="E86">
        <f>'Peso dos Apartamentos'!H6 * 'Peso das Vagas'!F6 * 'Histórico dos Sorteios'!E86</f>
        <v>40</v>
      </c>
    </row>
    <row r="87" spans="1:5" x14ac:dyDescent="0.25">
      <c r="A87">
        <v>5</v>
      </c>
      <c r="B87">
        <v>1</v>
      </c>
      <c r="C87">
        <v>6</v>
      </c>
      <c r="D87" t="s">
        <v>99</v>
      </c>
      <c r="E87">
        <f>'Peso dos Apartamentos'!H6 * 'Peso das Vagas'!F7 * 'Histórico dos Sorteios'!E87</f>
        <v>35</v>
      </c>
    </row>
    <row r="88" spans="1:5" x14ac:dyDescent="0.25">
      <c r="A88">
        <v>5</v>
      </c>
      <c r="B88">
        <v>1</v>
      </c>
      <c r="C88">
        <v>7</v>
      </c>
      <c r="D88" t="s">
        <v>100</v>
      </c>
      <c r="E88">
        <f>'Peso dos Apartamentos'!H6 * 'Peso das Vagas'!F8 * 'Histórico dos Sorteios'!E88</f>
        <v>30</v>
      </c>
    </row>
    <row r="89" spans="1:5" x14ac:dyDescent="0.25">
      <c r="A89">
        <v>5</v>
      </c>
      <c r="B89">
        <v>1</v>
      </c>
      <c r="C89">
        <v>8</v>
      </c>
      <c r="D89" t="s">
        <v>101</v>
      </c>
      <c r="E89">
        <f>'Peso dos Apartamentos'!H6 * 'Peso das Vagas'!F9 * 'Histórico dos Sorteios'!E89</f>
        <v>25</v>
      </c>
    </row>
    <row r="90" spans="1:5" x14ac:dyDescent="0.25">
      <c r="A90">
        <v>5</v>
      </c>
      <c r="B90">
        <v>1</v>
      </c>
      <c r="C90">
        <v>9</v>
      </c>
      <c r="D90" t="s">
        <v>102</v>
      </c>
      <c r="E90">
        <f>'Peso dos Apartamentos'!H6 * 'Peso das Vagas'!F10 * 'Histórico dos Sorteios'!E90</f>
        <v>20</v>
      </c>
    </row>
    <row r="91" spans="1:5" x14ac:dyDescent="0.25">
      <c r="A91">
        <v>5</v>
      </c>
      <c r="B91">
        <v>1</v>
      </c>
      <c r="C91">
        <v>10</v>
      </c>
      <c r="D91" t="s">
        <v>103</v>
      </c>
      <c r="E91">
        <f>'Peso dos Apartamentos'!H6 * 'Peso das Vagas'!F11 * 'Histórico dos Sorteios'!E91</f>
        <v>15</v>
      </c>
    </row>
    <row r="92" spans="1:5" x14ac:dyDescent="0.25">
      <c r="A92">
        <v>5</v>
      </c>
      <c r="B92">
        <v>2</v>
      </c>
      <c r="C92">
        <v>1</v>
      </c>
      <c r="D92" t="s">
        <v>104</v>
      </c>
      <c r="E92">
        <f>'Peso dos Apartamentos'!H16 * 'Peso das Vagas'!F12 * 'Histórico dos Sorteios'!E92</f>
        <v>20</v>
      </c>
    </row>
    <row r="93" spans="1:5" x14ac:dyDescent="0.25">
      <c r="A93">
        <v>5</v>
      </c>
      <c r="B93">
        <v>2</v>
      </c>
      <c r="C93">
        <v>2</v>
      </c>
      <c r="D93" t="s">
        <v>105</v>
      </c>
      <c r="E93">
        <f>'Peso dos Apartamentos'!H16 * 'Peso das Vagas'!F13 * 'Histórico dos Sorteios'!E93</f>
        <v>25</v>
      </c>
    </row>
    <row r="94" spans="1:5" x14ac:dyDescent="0.25">
      <c r="A94">
        <v>5</v>
      </c>
      <c r="B94">
        <v>2</v>
      </c>
      <c r="C94">
        <v>3</v>
      </c>
      <c r="D94" t="s">
        <v>106</v>
      </c>
      <c r="E94">
        <f>'Peso dos Apartamentos'!H16 * 'Peso das Vagas'!F14 * 'Histórico dos Sorteios'!E94</f>
        <v>30</v>
      </c>
    </row>
    <row r="95" spans="1:5" x14ac:dyDescent="0.25">
      <c r="A95">
        <v>5</v>
      </c>
      <c r="B95">
        <v>2</v>
      </c>
      <c r="C95">
        <v>4</v>
      </c>
      <c r="D95" t="s">
        <v>107</v>
      </c>
      <c r="E95">
        <f>'Peso dos Apartamentos'!H16 * 'Peso das Vagas'!F15 * 'Histórico dos Sorteios'!E95</f>
        <v>35</v>
      </c>
    </row>
    <row r="96" spans="1:5" x14ac:dyDescent="0.25">
      <c r="A96">
        <v>5</v>
      </c>
      <c r="B96">
        <v>2</v>
      </c>
      <c r="C96">
        <v>5</v>
      </c>
      <c r="D96" t="s">
        <v>108</v>
      </c>
      <c r="E96">
        <f>'Peso dos Apartamentos'!H16 * 'Peso das Vagas'!F16 * 'Histórico dos Sorteios'!E96</f>
        <v>40</v>
      </c>
    </row>
    <row r="97" spans="1:5" x14ac:dyDescent="0.25">
      <c r="A97">
        <v>5</v>
      </c>
      <c r="B97">
        <v>2</v>
      </c>
      <c r="C97">
        <v>6</v>
      </c>
      <c r="D97" t="s">
        <v>109</v>
      </c>
      <c r="E97">
        <f>'Peso dos Apartamentos'!H16 * 'Peso das Vagas'!F17 * 'Histórico dos Sorteios'!E97</f>
        <v>35</v>
      </c>
    </row>
    <row r="98" spans="1:5" x14ac:dyDescent="0.25">
      <c r="A98">
        <v>5</v>
      </c>
      <c r="B98">
        <v>2</v>
      </c>
      <c r="C98">
        <v>7</v>
      </c>
      <c r="D98" t="s">
        <v>110</v>
      </c>
      <c r="E98">
        <f>'Peso dos Apartamentos'!H16 * 'Peso das Vagas'!F18 * 'Histórico dos Sorteios'!E98</f>
        <v>30</v>
      </c>
    </row>
    <row r="99" spans="1:5" x14ac:dyDescent="0.25">
      <c r="A99">
        <v>5</v>
      </c>
      <c r="B99">
        <v>2</v>
      </c>
      <c r="C99">
        <v>8</v>
      </c>
      <c r="D99" t="s">
        <v>111</v>
      </c>
      <c r="E99">
        <f>'Peso dos Apartamentos'!H16 * 'Peso das Vagas'!F19 * 'Histórico dos Sorteios'!E99</f>
        <v>25</v>
      </c>
    </row>
    <row r="100" spans="1:5" x14ac:dyDescent="0.25">
      <c r="A100">
        <v>5</v>
      </c>
      <c r="B100">
        <v>2</v>
      </c>
      <c r="C100">
        <v>9</v>
      </c>
      <c r="D100" t="s">
        <v>112</v>
      </c>
      <c r="E100">
        <f>'Peso dos Apartamentos'!H16 * 'Peso das Vagas'!F20 * 'Histórico dos Sorteios'!E100</f>
        <v>20</v>
      </c>
    </row>
    <row r="101" spans="1:5" x14ac:dyDescent="0.25">
      <c r="A101">
        <v>5</v>
      </c>
      <c r="B101">
        <v>2</v>
      </c>
      <c r="C101">
        <v>10</v>
      </c>
      <c r="D101" t="s">
        <v>113</v>
      </c>
      <c r="E101">
        <f>'Peso dos Apartamentos'!H16 * 'Peso das Vagas'!F21 * 'Histórico dos Sorteios'!E101</f>
        <v>15</v>
      </c>
    </row>
    <row r="102" spans="1:5" x14ac:dyDescent="0.25">
      <c r="A102">
        <v>6</v>
      </c>
      <c r="B102">
        <v>1</v>
      </c>
      <c r="C102">
        <v>1</v>
      </c>
      <c r="D102" t="s">
        <v>114</v>
      </c>
      <c r="E102">
        <f>'Peso dos Apartamentos'!H7 * 'Peso das Vagas'!F2 * 'Histórico dos Sorteios'!E102</f>
        <v>20</v>
      </c>
    </row>
    <row r="103" spans="1:5" x14ac:dyDescent="0.25">
      <c r="A103">
        <v>6</v>
      </c>
      <c r="B103">
        <v>1</v>
      </c>
      <c r="C103">
        <v>2</v>
      </c>
      <c r="D103" t="s">
        <v>115</v>
      </c>
      <c r="E103">
        <f>'Peso dos Apartamentos'!H7 * 'Peso das Vagas'!F3 * 'Histórico dos Sorteios'!E103</f>
        <v>25</v>
      </c>
    </row>
    <row r="104" spans="1:5" x14ac:dyDescent="0.25">
      <c r="A104">
        <v>6</v>
      </c>
      <c r="B104">
        <v>1</v>
      </c>
      <c r="C104">
        <v>3</v>
      </c>
      <c r="D104" t="s">
        <v>116</v>
      </c>
      <c r="E104">
        <f>'Peso dos Apartamentos'!H7 * 'Peso das Vagas'!F4 * 'Histórico dos Sorteios'!E104</f>
        <v>30</v>
      </c>
    </row>
    <row r="105" spans="1:5" x14ac:dyDescent="0.25">
      <c r="A105">
        <v>6</v>
      </c>
      <c r="B105">
        <v>1</v>
      </c>
      <c r="C105">
        <v>4</v>
      </c>
      <c r="D105" t="s">
        <v>117</v>
      </c>
      <c r="E105">
        <f>'Peso dos Apartamentos'!H7 * 'Peso das Vagas'!F5 * 'Histórico dos Sorteios'!E105</f>
        <v>35</v>
      </c>
    </row>
    <row r="106" spans="1:5" x14ac:dyDescent="0.25">
      <c r="A106">
        <v>6</v>
      </c>
      <c r="B106">
        <v>1</v>
      </c>
      <c r="C106">
        <v>5</v>
      </c>
      <c r="D106" t="s">
        <v>118</v>
      </c>
      <c r="E106">
        <f>'Peso dos Apartamentos'!H7 * 'Peso das Vagas'!F6 * 'Histórico dos Sorteios'!E106</f>
        <v>40</v>
      </c>
    </row>
    <row r="107" spans="1:5" x14ac:dyDescent="0.25">
      <c r="A107">
        <v>6</v>
      </c>
      <c r="B107">
        <v>1</v>
      </c>
      <c r="C107">
        <v>6</v>
      </c>
      <c r="D107" t="s">
        <v>119</v>
      </c>
      <c r="E107">
        <f>'Peso dos Apartamentos'!H7 * 'Peso das Vagas'!F7 * 'Histórico dos Sorteios'!E107</f>
        <v>35</v>
      </c>
    </row>
    <row r="108" spans="1:5" x14ac:dyDescent="0.25">
      <c r="A108">
        <v>6</v>
      </c>
      <c r="B108">
        <v>1</v>
      </c>
      <c r="C108">
        <v>7</v>
      </c>
      <c r="D108" t="s">
        <v>120</v>
      </c>
      <c r="E108">
        <f>'Peso dos Apartamentos'!H7 * 'Peso das Vagas'!F8 * 'Histórico dos Sorteios'!E108</f>
        <v>30</v>
      </c>
    </row>
    <row r="109" spans="1:5" x14ac:dyDescent="0.25">
      <c r="A109">
        <v>6</v>
      </c>
      <c r="B109">
        <v>1</v>
      </c>
      <c r="C109">
        <v>8</v>
      </c>
      <c r="D109" t="s">
        <v>121</v>
      </c>
      <c r="E109">
        <f>'Peso dos Apartamentos'!H7 * 'Peso das Vagas'!F9 * 'Histórico dos Sorteios'!E109</f>
        <v>25</v>
      </c>
    </row>
    <row r="110" spans="1:5" x14ac:dyDescent="0.25">
      <c r="A110">
        <v>6</v>
      </c>
      <c r="B110">
        <v>1</v>
      </c>
      <c r="C110">
        <v>9</v>
      </c>
      <c r="D110" t="s">
        <v>122</v>
      </c>
      <c r="E110">
        <f>'Peso dos Apartamentos'!H7 * 'Peso das Vagas'!F10 * 'Histórico dos Sorteios'!E110</f>
        <v>20</v>
      </c>
    </row>
    <row r="111" spans="1:5" x14ac:dyDescent="0.25">
      <c r="A111">
        <v>6</v>
      </c>
      <c r="B111">
        <v>1</v>
      </c>
      <c r="C111">
        <v>10</v>
      </c>
      <c r="D111" t="s">
        <v>123</v>
      </c>
      <c r="E111">
        <f>'Peso dos Apartamentos'!H7 * 'Peso das Vagas'!F11 * 'Histórico dos Sorteios'!E111</f>
        <v>15</v>
      </c>
    </row>
    <row r="112" spans="1:5" x14ac:dyDescent="0.25">
      <c r="A112">
        <v>6</v>
      </c>
      <c r="B112">
        <v>2</v>
      </c>
      <c r="C112">
        <v>1</v>
      </c>
      <c r="D112" t="s">
        <v>124</v>
      </c>
      <c r="E112">
        <f>'Peso dos Apartamentos'!H17 * 'Peso das Vagas'!F12 * 'Histórico dos Sorteios'!E112</f>
        <v>20</v>
      </c>
    </row>
    <row r="113" spans="1:5" x14ac:dyDescent="0.25">
      <c r="A113">
        <v>6</v>
      </c>
      <c r="B113">
        <v>2</v>
      </c>
      <c r="C113">
        <v>2</v>
      </c>
      <c r="D113" t="s">
        <v>125</v>
      </c>
      <c r="E113">
        <f>'Peso dos Apartamentos'!H17 * 'Peso das Vagas'!F13 * 'Histórico dos Sorteios'!E113</f>
        <v>25</v>
      </c>
    </row>
    <row r="114" spans="1:5" x14ac:dyDescent="0.25">
      <c r="A114">
        <v>6</v>
      </c>
      <c r="B114">
        <v>2</v>
      </c>
      <c r="C114">
        <v>3</v>
      </c>
      <c r="D114" t="s">
        <v>126</v>
      </c>
      <c r="E114">
        <f>'Peso dos Apartamentos'!H17 * 'Peso das Vagas'!F14 * 'Histórico dos Sorteios'!E114</f>
        <v>30</v>
      </c>
    </row>
    <row r="115" spans="1:5" x14ac:dyDescent="0.25">
      <c r="A115">
        <v>6</v>
      </c>
      <c r="B115">
        <v>2</v>
      </c>
      <c r="C115">
        <v>4</v>
      </c>
      <c r="D115" t="s">
        <v>127</v>
      </c>
      <c r="E115">
        <f>'Peso dos Apartamentos'!H17 * 'Peso das Vagas'!F15 * 'Histórico dos Sorteios'!E115</f>
        <v>35</v>
      </c>
    </row>
    <row r="116" spans="1:5" x14ac:dyDescent="0.25">
      <c r="A116">
        <v>6</v>
      </c>
      <c r="B116">
        <v>2</v>
      </c>
      <c r="C116">
        <v>5</v>
      </c>
      <c r="D116" t="s">
        <v>128</v>
      </c>
      <c r="E116">
        <f>'Peso dos Apartamentos'!H17 * 'Peso das Vagas'!F16 * 'Histórico dos Sorteios'!E116</f>
        <v>40</v>
      </c>
    </row>
    <row r="117" spans="1:5" x14ac:dyDescent="0.25">
      <c r="A117">
        <v>6</v>
      </c>
      <c r="B117">
        <v>2</v>
      </c>
      <c r="C117">
        <v>6</v>
      </c>
      <c r="D117" t="s">
        <v>129</v>
      </c>
      <c r="E117">
        <f>'Peso dos Apartamentos'!H17 * 'Peso das Vagas'!F17 * 'Histórico dos Sorteios'!E117</f>
        <v>35</v>
      </c>
    </row>
    <row r="118" spans="1:5" x14ac:dyDescent="0.25">
      <c r="A118">
        <v>6</v>
      </c>
      <c r="B118">
        <v>2</v>
      </c>
      <c r="C118">
        <v>7</v>
      </c>
      <c r="D118" t="s">
        <v>130</v>
      </c>
      <c r="E118">
        <f>'Peso dos Apartamentos'!H17 * 'Peso das Vagas'!F18 * 'Histórico dos Sorteios'!E118</f>
        <v>30</v>
      </c>
    </row>
    <row r="119" spans="1:5" x14ac:dyDescent="0.25">
      <c r="A119">
        <v>6</v>
      </c>
      <c r="B119">
        <v>2</v>
      </c>
      <c r="C119">
        <v>8</v>
      </c>
      <c r="D119" t="s">
        <v>131</v>
      </c>
      <c r="E119">
        <f>'Peso dos Apartamentos'!H17 * 'Peso das Vagas'!F19 * 'Histórico dos Sorteios'!E119</f>
        <v>25</v>
      </c>
    </row>
    <row r="120" spans="1:5" x14ac:dyDescent="0.25">
      <c r="A120">
        <v>6</v>
      </c>
      <c r="B120">
        <v>2</v>
      </c>
      <c r="C120">
        <v>9</v>
      </c>
      <c r="D120" t="s">
        <v>132</v>
      </c>
      <c r="E120">
        <f>'Peso dos Apartamentos'!H17 * 'Peso das Vagas'!F20 * 'Histórico dos Sorteios'!E120</f>
        <v>20</v>
      </c>
    </row>
    <row r="121" spans="1:5" x14ac:dyDescent="0.25">
      <c r="A121">
        <v>6</v>
      </c>
      <c r="B121">
        <v>2</v>
      </c>
      <c r="C121">
        <v>10</v>
      </c>
      <c r="D121" t="s">
        <v>133</v>
      </c>
      <c r="E121">
        <f>'Peso dos Apartamentos'!H17 * 'Peso das Vagas'!F21 * 'Histórico dos Sorteios'!E121</f>
        <v>15</v>
      </c>
    </row>
    <row r="122" spans="1:5" x14ac:dyDescent="0.25">
      <c r="A122">
        <v>7</v>
      </c>
      <c r="B122">
        <v>1</v>
      </c>
      <c r="C122">
        <v>1</v>
      </c>
      <c r="D122" t="s">
        <v>134</v>
      </c>
      <c r="E122">
        <f>'Peso dos Apartamentos'!H8 * 'Peso das Vagas'!F2 * 'Histórico dos Sorteios'!E122</f>
        <v>20</v>
      </c>
    </row>
    <row r="123" spans="1:5" x14ac:dyDescent="0.25">
      <c r="A123">
        <v>7</v>
      </c>
      <c r="B123">
        <v>1</v>
      </c>
      <c r="C123">
        <v>2</v>
      </c>
      <c r="D123" t="s">
        <v>135</v>
      </c>
      <c r="E123">
        <f>'Peso dos Apartamentos'!H8 * 'Peso das Vagas'!F3 * 'Histórico dos Sorteios'!E123</f>
        <v>25</v>
      </c>
    </row>
    <row r="124" spans="1:5" x14ac:dyDescent="0.25">
      <c r="A124">
        <v>7</v>
      </c>
      <c r="B124">
        <v>1</v>
      </c>
      <c r="C124">
        <v>3</v>
      </c>
      <c r="D124" t="s">
        <v>136</v>
      </c>
      <c r="E124">
        <f>'Peso dos Apartamentos'!H8 * 'Peso das Vagas'!F4 * 'Histórico dos Sorteios'!E124</f>
        <v>30</v>
      </c>
    </row>
    <row r="125" spans="1:5" x14ac:dyDescent="0.25">
      <c r="A125">
        <v>7</v>
      </c>
      <c r="B125">
        <v>1</v>
      </c>
      <c r="C125">
        <v>4</v>
      </c>
      <c r="D125" t="s">
        <v>137</v>
      </c>
      <c r="E125">
        <f>'Peso dos Apartamentos'!H8 * 'Peso das Vagas'!F5 * 'Histórico dos Sorteios'!E125</f>
        <v>35</v>
      </c>
    </row>
    <row r="126" spans="1:5" x14ac:dyDescent="0.25">
      <c r="A126">
        <v>7</v>
      </c>
      <c r="B126">
        <v>1</v>
      </c>
      <c r="C126">
        <v>5</v>
      </c>
      <c r="D126" t="s">
        <v>138</v>
      </c>
      <c r="E126">
        <f>'Peso dos Apartamentos'!H8 * 'Peso das Vagas'!F6 * 'Histórico dos Sorteios'!E126</f>
        <v>40</v>
      </c>
    </row>
    <row r="127" spans="1:5" x14ac:dyDescent="0.25">
      <c r="A127">
        <v>7</v>
      </c>
      <c r="B127">
        <v>1</v>
      </c>
      <c r="C127">
        <v>6</v>
      </c>
      <c r="D127" t="s">
        <v>139</v>
      </c>
      <c r="E127">
        <f>'Peso dos Apartamentos'!H8 * 'Peso das Vagas'!F7 * 'Histórico dos Sorteios'!E127</f>
        <v>35</v>
      </c>
    </row>
    <row r="128" spans="1:5" x14ac:dyDescent="0.25">
      <c r="A128">
        <v>7</v>
      </c>
      <c r="B128">
        <v>1</v>
      </c>
      <c r="C128">
        <v>7</v>
      </c>
      <c r="D128" t="s">
        <v>140</v>
      </c>
      <c r="E128">
        <f>'Peso dos Apartamentos'!H8 * 'Peso das Vagas'!F8 * 'Histórico dos Sorteios'!E128</f>
        <v>30</v>
      </c>
    </row>
    <row r="129" spans="1:5" x14ac:dyDescent="0.25">
      <c r="A129">
        <v>7</v>
      </c>
      <c r="B129">
        <v>1</v>
      </c>
      <c r="C129">
        <v>8</v>
      </c>
      <c r="D129" t="s">
        <v>141</v>
      </c>
      <c r="E129">
        <f>'Peso dos Apartamentos'!H8 * 'Peso das Vagas'!F9 * 'Histórico dos Sorteios'!E129</f>
        <v>25</v>
      </c>
    </row>
    <row r="130" spans="1:5" x14ac:dyDescent="0.25">
      <c r="A130">
        <v>7</v>
      </c>
      <c r="B130">
        <v>1</v>
      </c>
      <c r="C130">
        <v>9</v>
      </c>
      <c r="D130" t="s">
        <v>142</v>
      </c>
      <c r="E130">
        <f>'Peso dos Apartamentos'!H8 * 'Peso das Vagas'!F10 * 'Histórico dos Sorteios'!E130</f>
        <v>20</v>
      </c>
    </row>
    <row r="131" spans="1:5" x14ac:dyDescent="0.25">
      <c r="A131">
        <v>7</v>
      </c>
      <c r="B131">
        <v>1</v>
      </c>
      <c r="C131">
        <v>10</v>
      </c>
      <c r="D131" t="s">
        <v>143</v>
      </c>
      <c r="E131">
        <f>'Peso dos Apartamentos'!H8 * 'Peso das Vagas'!F11 * 'Histórico dos Sorteios'!E131</f>
        <v>15</v>
      </c>
    </row>
    <row r="132" spans="1:5" x14ac:dyDescent="0.25">
      <c r="A132">
        <v>7</v>
      </c>
      <c r="B132">
        <v>2</v>
      </c>
      <c r="C132">
        <v>1</v>
      </c>
      <c r="D132" t="s">
        <v>144</v>
      </c>
      <c r="E132">
        <f>'Peso dos Apartamentos'!H18 * 'Peso das Vagas'!F12 * 'Histórico dos Sorteios'!E132</f>
        <v>20</v>
      </c>
    </row>
    <row r="133" spans="1:5" x14ac:dyDescent="0.25">
      <c r="A133">
        <v>7</v>
      </c>
      <c r="B133">
        <v>2</v>
      </c>
      <c r="C133">
        <v>2</v>
      </c>
      <c r="D133" t="s">
        <v>145</v>
      </c>
      <c r="E133">
        <f>'Peso dos Apartamentos'!H18 * 'Peso das Vagas'!F13 * 'Histórico dos Sorteios'!E133</f>
        <v>25</v>
      </c>
    </row>
    <row r="134" spans="1:5" x14ac:dyDescent="0.25">
      <c r="A134">
        <v>7</v>
      </c>
      <c r="B134">
        <v>2</v>
      </c>
      <c r="C134">
        <v>3</v>
      </c>
      <c r="D134" t="s">
        <v>146</v>
      </c>
      <c r="E134">
        <f>'Peso dos Apartamentos'!H18 * 'Peso das Vagas'!F14 * 'Histórico dos Sorteios'!E134</f>
        <v>30</v>
      </c>
    </row>
    <row r="135" spans="1:5" x14ac:dyDescent="0.25">
      <c r="A135">
        <v>7</v>
      </c>
      <c r="B135">
        <v>2</v>
      </c>
      <c r="C135">
        <v>4</v>
      </c>
      <c r="D135" t="s">
        <v>147</v>
      </c>
      <c r="E135">
        <f>'Peso dos Apartamentos'!H18 * 'Peso das Vagas'!F15 * 'Histórico dos Sorteios'!E135</f>
        <v>35</v>
      </c>
    </row>
    <row r="136" spans="1:5" x14ac:dyDescent="0.25">
      <c r="A136">
        <v>7</v>
      </c>
      <c r="B136">
        <v>2</v>
      </c>
      <c r="C136">
        <v>5</v>
      </c>
      <c r="D136" t="s">
        <v>148</v>
      </c>
      <c r="E136">
        <f>'Peso dos Apartamentos'!H18 * 'Peso das Vagas'!F16 * 'Histórico dos Sorteios'!E136</f>
        <v>40</v>
      </c>
    </row>
    <row r="137" spans="1:5" x14ac:dyDescent="0.25">
      <c r="A137">
        <v>7</v>
      </c>
      <c r="B137">
        <v>2</v>
      </c>
      <c r="C137">
        <v>6</v>
      </c>
      <c r="D137" t="s">
        <v>149</v>
      </c>
      <c r="E137">
        <f>'Peso dos Apartamentos'!H18 * 'Peso das Vagas'!F17 * 'Histórico dos Sorteios'!E137</f>
        <v>35</v>
      </c>
    </row>
    <row r="138" spans="1:5" x14ac:dyDescent="0.25">
      <c r="A138">
        <v>7</v>
      </c>
      <c r="B138">
        <v>2</v>
      </c>
      <c r="C138">
        <v>7</v>
      </c>
      <c r="D138" t="s">
        <v>150</v>
      </c>
      <c r="E138">
        <f>'Peso dos Apartamentos'!H18 * 'Peso das Vagas'!F18 * 'Histórico dos Sorteios'!E138</f>
        <v>30</v>
      </c>
    </row>
    <row r="139" spans="1:5" x14ac:dyDescent="0.25">
      <c r="A139">
        <v>7</v>
      </c>
      <c r="B139">
        <v>2</v>
      </c>
      <c r="C139">
        <v>8</v>
      </c>
      <c r="D139" t="s">
        <v>151</v>
      </c>
      <c r="E139">
        <f>'Peso dos Apartamentos'!H18 * 'Peso das Vagas'!F19 * 'Histórico dos Sorteios'!E139</f>
        <v>25</v>
      </c>
    </row>
    <row r="140" spans="1:5" x14ac:dyDescent="0.25">
      <c r="A140">
        <v>7</v>
      </c>
      <c r="B140">
        <v>2</v>
      </c>
      <c r="C140">
        <v>9</v>
      </c>
      <c r="D140" t="s">
        <v>152</v>
      </c>
      <c r="E140">
        <f>'Peso dos Apartamentos'!H18 * 'Peso das Vagas'!F20 * 'Histórico dos Sorteios'!E140</f>
        <v>20</v>
      </c>
    </row>
    <row r="141" spans="1:5" x14ac:dyDescent="0.25">
      <c r="A141">
        <v>7</v>
      </c>
      <c r="B141">
        <v>2</v>
      </c>
      <c r="C141">
        <v>10</v>
      </c>
      <c r="D141" t="s">
        <v>153</v>
      </c>
      <c r="E141">
        <f>'Peso dos Apartamentos'!H18 * 'Peso das Vagas'!F21 * 'Histórico dos Sorteios'!E141</f>
        <v>15</v>
      </c>
    </row>
    <row r="142" spans="1:5" x14ac:dyDescent="0.25">
      <c r="A142">
        <v>8</v>
      </c>
      <c r="B142">
        <v>1</v>
      </c>
      <c r="C142">
        <v>1</v>
      </c>
      <c r="D142" t="s">
        <v>154</v>
      </c>
      <c r="E142">
        <f>'Peso dos Apartamentos'!H9 * 'Peso das Vagas'!F2 * 'Histórico dos Sorteios'!E142</f>
        <v>20</v>
      </c>
    </row>
    <row r="143" spans="1:5" x14ac:dyDescent="0.25">
      <c r="A143">
        <v>8</v>
      </c>
      <c r="B143">
        <v>1</v>
      </c>
      <c r="C143">
        <v>2</v>
      </c>
      <c r="D143" t="s">
        <v>155</v>
      </c>
      <c r="E143">
        <f>'Peso dos Apartamentos'!H9 * 'Peso das Vagas'!F3 * 'Histórico dos Sorteios'!E143</f>
        <v>25</v>
      </c>
    </row>
    <row r="144" spans="1:5" x14ac:dyDescent="0.25">
      <c r="A144">
        <v>8</v>
      </c>
      <c r="B144">
        <v>1</v>
      </c>
      <c r="C144">
        <v>3</v>
      </c>
      <c r="D144" t="s">
        <v>156</v>
      </c>
      <c r="E144">
        <f>'Peso dos Apartamentos'!H9 * 'Peso das Vagas'!F4 * 'Histórico dos Sorteios'!E144</f>
        <v>30</v>
      </c>
    </row>
    <row r="145" spans="1:5" x14ac:dyDescent="0.25">
      <c r="A145">
        <v>8</v>
      </c>
      <c r="B145">
        <v>1</v>
      </c>
      <c r="C145">
        <v>4</v>
      </c>
      <c r="D145" t="s">
        <v>157</v>
      </c>
      <c r="E145">
        <f>'Peso dos Apartamentos'!H9 * 'Peso das Vagas'!F5 * 'Histórico dos Sorteios'!E145</f>
        <v>35</v>
      </c>
    </row>
    <row r="146" spans="1:5" x14ac:dyDescent="0.25">
      <c r="A146">
        <v>8</v>
      </c>
      <c r="B146">
        <v>1</v>
      </c>
      <c r="C146">
        <v>5</v>
      </c>
      <c r="D146" t="s">
        <v>158</v>
      </c>
      <c r="E146">
        <f>'Peso dos Apartamentos'!H9 * 'Peso das Vagas'!F6 * 'Histórico dos Sorteios'!E146</f>
        <v>40</v>
      </c>
    </row>
    <row r="147" spans="1:5" x14ac:dyDescent="0.25">
      <c r="A147">
        <v>8</v>
      </c>
      <c r="B147">
        <v>1</v>
      </c>
      <c r="C147">
        <v>6</v>
      </c>
      <c r="D147" t="s">
        <v>159</v>
      </c>
      <c r="E147">
        <f>'Peso dos Apartamentos'!H9 * 'Peso das Vagas'!F7 * 'Histórico dos Sorteios'!E147</f>
        <v>35</v>
      </c>
    </row>
    <row r="148" spans="1:5" x14ac:dyDescent="0.25">
      <c r="A148">
        <v>8</v>
      </c>
      <c r="B148">
        <v>1</v>
      </c>
      <c r="C148">
        <v>7</v>
      </c>
      <c r="D148" t="s">
        <v>160</v>
      </c>
      <c r="E148">
        <f>'Peso dos Apartamentos'!H9 * 'Peso das Vagas'!F8 * 'Histórico dos Sorteios'!E148</f>
        <v>30</v>
      </c>
    </row>
    <row r="149" spans="1:5" x14ac:dyDescent="0.25">
      <c r="A149">
        <v>8</v>
      </c>
      <c r="B149">
        <v>1</v>
      </c>
      <c r="C149">
        <v>8</v>
      </c>
      <c r="D149" t="s">
        <v>161</v>
      </c>
      <c r="E149">
        <f>'Peso dos Apartamentos'!H9 * 'Peso das Vagas'!F9 * 'Histórico dos Sorteios'!E149</f>
        <v>25</v>
      </c>
    </row>
    <row r="150" spans="1:5" x14ac:dyDescent="0.25">
      <c r="A150">
        <v>8</v>
      </c>
      <c r="B150">
        <v>1</v>
      </c>
      <c r="C150">
        <v>9</v>
      </c>
      <c r="D150" t="s">
        <v>162</v>
      </c>
      <c r="E150">
        <f>'Peso dos Apartamentos'!H9 * 'Peso das Vagas'!F10 * 'Histórico dos Sorteios'!E150</f>
        <v>20</v>
      </c>
    </row>
    <row r="151" spans="1:5" x14ac:dyDescent="0.25">
      <c r="A151">
        <v>8</v>
      </c>
      <c r="B151">
        <v>1</v>
      </c>
      <c r="C151">
        <v>10</v>
      </c>
      <c r="D151" t="s">
        <v>163</v>
      </c>
      <c r="E151">
        <f>'Peso dos Apartamentos'!H9 * 'Peso das Vagas'!F11 * 'Histórico dos Sorteios'!E151</f>
        <v>15</v>
      </c>
    </row>
    <row r="152" spans="1:5" x14ac:dyDescent="0.25">
      <c r="A152">
        <v>8</v>
      </c>
      <c r="B152">
        <v>2</v>
      </c>
      <c r="C152">
        <v>1</v>
      </c>
      <c r="D152" t="s">
        <v>164</v>
      </c>
      <c r="E152">
        <f>'Peso dos Apartamentos'!H19 * 'Peso das Vagas'!F12 * 'Histórico dos Sorteios'!E152</f>
        <v>20</v>
      </c>
    </row>
    <row r="153" spans="1:5" x14ac:dyDescent="0.25">
      <c r="A153">
        <v>8</v>
      </c>
      <c r="B153">
        <v>2</v>
      </c>
      <c r="C153">
        <v>2</v>
      </c>
      <c r="D153" t="s">
        <v>165</v>
      </c>
      <c r="E153">
        <f>'Peso dos Apartamentos'!H19 * 'Peso das Vagas'!F13 * 'Histórico dos Sorteios'!E153</f>
        <v>25</v>
      </c>
    </row>
    <row r="154" spans="1:5" x14ac:dyDescent="0.25">
      <c r="A154">
        <v>8</v>
      </c>
      <c r="B154">
        <v>2</v>
      </c>
      <c r="C154">
        <v>3</v>
      </c>
      <c r="D154" t="s">
        <v>166</v>
      </c>
      <c r="E154">
        <f>'Peso dos Apartamentos'!H19 * 'Peso das Vagas'!F14 * 'Histórico dos Sorteios'!E154</f>
        <v>30</v>
      </c>
    </row>
    <row r="155" spans="1:5" x14ac:dyDescent="0.25">
      <c r="A155">
        <v>8</v>
      </c>
      <c r="B155">
        <v>2</v>
      </c>
      <c r="C155">
        <v>4</v>
      </c>
      <c r="D155" t="s">
        <v>167</v>
      </c>
      <c r="E155">
        <f>'Peso dos Apartamentos'!H19 * 'Peso das Vagas'!F15 * 'Histórico dos Sorteios'!E155</f>
        <v>35</v>
      </c>
    </row>
    <row r="156" spans="1:5" x14ac:dyDescent="0.25">
      <c r="A156">
        <v>8</v>
      </c>
      <c r="B156">
        <v>2</v>
      </c>
      <c r="C156">
        <v>5</v>
      </c>
      <c r="D156" t="s">
        <v>168</v>
      </c>
      <c r="E156">
        <f>'Peso dos Apartamentos'!H19 * 'Peso das Vagas'!F16 * 'Histórico dos Sorteios'!E156</f>
        <v>40</v>
      </c>
    </row>
    <row r="157" spans="1:5" x14ac:dyDescent="0.25">
      <c r="A157">
        <v>8</v>
      </c>
      <c r="B157">
        <v>2</v>
      </c>
      <c r="C157">
        <v>6</v>
      </c>
      <c r="D157" t="s">
        <v>169</v>
      </c>
      <c r="E157">
        <f>'Peso dos Apartamentos'!H19 * 'Peso das Vagas'!F17 * 'Histórico dos Sorteios'!E157</f>
        <v>35</v>
      </c>
    </row>
    <row r="158" spans="1:5" x14ac:dyDescent="0.25">
      <c r="A158">
        <v>8</v>
      </c>
      <c r="B158">
        <v>2</v>
      </c>
      <c r="C158">
        <v>7</v>
      </c>
      <c r="D158" t="s">
        <v>170</v>
      </c>
      <c r="E158">
        <f>'Peso dos Apartamentos'!H19 * 'Peso das Vagas'!F18 * 'Histórico dos Sorteios'!E158</f>
        <v>30</v>
      </c>
    </row>
    <row r="159" spans="1:5" x14ac:dyDescent="0.25">
      <c r="A159">
        <v>8</v>
      </c>
      <c r="B159">
        <v>2</v>
      </c>
      <c r="C159">
        <v>8</v>
      </c>
      <c r="D159" t="s">
        <v>171</v>
      </c>
      <c r="E159">
        <f>'Peso dos Apartamentos'!H19 * 'Peso das Vagas'!F19 * 'Histórico dos Sorteios'!E159</f>
        <v>25</v>
      </c>
    </row>
    <row r="160" spans="1:5" x14ac:dyDescent="0.25">
      <c r="A160">
        <v>8</v>
      </c>
      <c r="B160">
        <v>2</v>
      </c>
      <c r="C160">
        <v>9</v>
      </c>
      <c r="D160" t="s">
        <v>172</v>
      </c>
      <c r="E160">
        <f>'Peso dos Apartamentos'!H19 * 'Peso das Vagas'!F20 * 'Histórico dos Sorteios'!E160</f>
        <v>20</v>
      </c>
    </row>
    <row r="161" spans="1:5" x14ac:dyDescent="0.25">
      <c r="A161">
        <v>8</v>
      </c>
      <c r="B161">
        <v>2</v>
      </c>
      <c r="C161">
        <v>10</v>
      </c>
      <c r="D161" t="s">
        <v>173</v>
      </c>
      <c r="E161">
        <f>'Peso dos Apartamentos'!H19 * 'Peso das Vagas'!F21 * 'Histórico dos Sorteios'!E161</f>
        <v>15</v>
      </c>
    </row>
    <row r="162" spans="1:5" x14ac:dyDescent="0.25">
      <c r="A162">
        <v>9</v>
      </c>
      <c r="B162">
        <v>1</v>
      </c>
      <c r="C162">
        <v>1</v>
      </c>
      <c r="D162" t="s">
        <v>174</v>
      </c>
      <c r="E162">
        <f>'Peso dos Apartamentos'!H10 * 'Peso das Vagas'!F2 * 'Histórico dos Sorteios'!E162</f>
        <v>20</v>
      </c>
    </row>
    <row r="163" spans="1:5" x14ac:dyDescent="0.25">
      <c r="A163">
        <v>9</v>
      </c>
      <c r="B163">
        <v>1</v>
      </c>
      <c r="C163">
        <v>2</v>
      </c>
      <c r="D163" t="s">
        <v>175</v>
      </c>
      <c r="E163">
        <f>'Peso dos Apartamentos'!H10 * 'Peso das Vagas'!F3 * 'Histórico dos Sorteios'!E163</f>
        <v>25</v>
      </c>
    </row>
    <row r="164" spans="1:5" x14ac:dyDescent="0.25">
      <c r="A164">
        <v>9</v>
      </c>
      <c r="B164">
        <v>1</v>
      </c>
      <c r="C164">
        <v>3</v>
      </c>
      <c r="D164" t="s">
        <v>176</v>
      </c>
      <c r="E164">
        <f>'Peso dos Apartamentos'!H10 * 'Peso das Vagas'!F4 * 'Histórico dos Sorteios'!E164</f>
        <v>30</v>
      </c>
    </row>
    <row r="165" spans="1:5" x14ac:dyDescent="0.25">
      <c r="A165">
        <v>9</v>
      </c>
      <c r="B165">
        <v>1</v>
      </c>
      <c r="C165">
        <v>4</v>
      </c>
      <c r="D165" t="s">
        <v>177</v>
      </c>
      <c r="E165">
        <f>'Peso dos Apartamentos'!H10 * 'Peso das Vagas'!F5 * 'Histórico dos Sorteios'!E165</f>
        <v>35</v>
      </c>
    </row>
    <row r="166" spans="1:5" x14ac:dyDescent="0.25">
      <c r="A166">
        <v>9</v>
      </c>
      <c r="B166">
        <v>1</v>
      </c>
      <c r="C166">
        <v>5</v>
      </c>
      <c r="D166" t="s">
        <v>178</v>
      </c>
      <c r="E166">
        <f>'Peso dos Apartamentos'!H10 * 'Peso das Vagas'!F6 * 'Histórico dos Sorteios'!E166</f>
        <v>40</v>
      </c>
    </row>
    <row r="167" spans="1:5" x14ac:dyDescent="0.25">
      <c r="A167">
        <v>9</v>
      </c>
      <c r="B167">
        <v>1</v>
      </c>
      <c r="C167">
        <v>6</v>
      </c>
      <c r="D167" t="s">
        <v>179</v>
      </c>
      <c r="E167">
        <f>'Peso dos Apartamentos'!H10 * 'Peso das Vagas'!F7 * 'Histórico dos Sorteios'!E167</f>
        <v>35</v>
      </c>
    </row>
    <row r="168" spans="1:5" x14ac:dyDescent="0.25">
      <c r="A168">
        <v>9</v>
      </c>
      <c r="B168">
        <v>1</v>
      </c>
      <c r="C168">
        <v>7</v>
      </c>
      <c r="D168" t="s">
        <v>180</v>
      </c>
      <c r="E168">
        <f>'Peso dos Apartamentos'!H10 * 'Peso das Vagas'!F8 * 'Histórico dos Sorteios'!E168</f>
        <v>30</v>
      </c>
    </row>
    <row r="169" spans="1:5" x14ac:dyDescent="0.25">
      <c r="A169">
        <v>9</v>
      </c>
      <c r="B169">
        <v>1</v>
      </c>
      <c r="C169">
        <v>8</v>
      </c>
      <c r="D169" t="s">
        <v>181</v>
      </c>
      <c r="E169">
        <f>'Peso dos Apartamentos'!H10 * 'Peso das Vagas'!F9 * 'Histórico dos Sorteios'!E169</f>
        <v>25</v>
      </c>
    </row>
    <row r="170" spans="1:5" x14ac:dyDescent="0.25">
      <c r="A170">
        <v>9</v>
      </c>
      <c r="B170">
        <v>1</v>
      </c>
      <c r="C170">
        <v>9</v>
      </c>
      <c r="D170" t="s">
        <v>182</v>
      </c>
      <c r="E170">
        <f>'Peso dos Apartamentos'!H10 * 'Peso das Vagas'!F10 * 'Histórico dos Sorteios'!E170</f>
        <v>20</v>
      </c>
    </row>
    <row r="171" spans="1:5" x14ac:dyDescent="0.25">
      <c r="A171">
        <v>9</v>
      </c>
      <c r="B171">
        <v>1</v>
      </c>
      <c r="C171">
        <v>10</v>
      </c>
      <c r="D171" t="s">
        <v>183</v>
      </c>
      <c r="E171">
        <f>'Peso dos Apartamentos'!H10 * 'Peso das Vagas'!F11 * 'Histórico dos Sorteios'!E171</f>
        <v>15</v>
      </c>
    </row>
    <row r="172" spans="1:5" x14ac:dyDescent="0.25">
      <c r="A172">
        <v>9</v>
      </c>
      <c r="B172">
        <v>2</v>
      </c>
      <c r="C172">
        <v>1</v>
      </c>
      <c r="D172" t="s">
        <v>184</v>
      </c>
      <c r="E172">
        <f>'Peso dos Apartamentos'!H20 * 'Peso das Vagas'!F12 * 'Histórico dos Sorteios'!E172</f>
        <v>20</v>
      </c>
    </row>
    <row r="173" spans="1:5" x14ac:dyDescent="0.25">
      <c r="A173">
        <v>9</v>
      </c>
      <c r="B173">
        <v>2</v>
      </c>
      <c r="C173">
        <v>2</v>
      </c>
      <c r="D173" t="s">
        <v>185</v>
      </c>
      <c r="E173">
        <f>'Peso dos Apartamentos'!H20 * 'Peso das Vagas'!F13 * 'Histórico dos Sorteios'!E173</f>
        <v>25</v>
      </c>
    </row>
    <row r="174" spans="1:5" x14ac:dyDescent="0.25">
      <c r="A174">
        <v>9</v>
      </c>
      <c r="B174">
        <v>2</v>
      </c>
      <c r="C174">
        <v>3</v>
      </c>
      <c r="D174" t="s">
        <v>186</v>
      </c>
      <c r="E174">
        <f>'Peso dos Apartamentos'!H20 * 'Peso das Vagas'!F14 * 'Histórico dos Sorteios'!E174</f>
        <v>30</v>
      </c>
    </row>
    <row r="175" spans="1:5" x14ac:dyDescent="0.25">
      <c r="A175">
        <v>9</v>
      </c>
      <c r="B175">
        <v>2</v>
      </c>
      <c r="C175">
        <v>4</v>
      </c>
      <c r="D175" t="s">
        <v>187</v>
      </c>
      <c r="E175">
        <f>'Peso dos Apartamentos'!H20 * 'Peso das Vagas'!F15 * 'Histórico dos Sorteios'!E175</f>
        <v>35</v>
      </c>
    </row>
    <row r="176" spans="1:5" x14ac:dyDescent="0.25">
      <c r="A176">
        <v>9</v>
      </c>
      <c r="B176">
        <v>2</v>
      </c>
      <c r="C176">
        <v>5</v>
      </c>
      <c r="D176" t="s">
        <v>188</v>
      </c>
      <c r="E176">
        <f>'Peso dos Apartamentos'!H20 * 'Peso das Vagas'!F16 * 'Histórico dos Sorteios'!E176</f>
        <v>40</v>
      </c>
    </row>
    <row r="177" spans="1:5" x14ac:dyDescent="0.25">
      <c r="A177">
        <v>9</v>
      </c>
      <c r="B177">
        <v>2</v>
      </c>
      <c r="C177">
        <v>6</v>
      </c>
      <c r="D177" t="s">
        <v>189</v>
      </c>
      <c r="E177">
        <f>'Peso dos Apartamentos'!H20 * 'Peso das Vagas'!F17 * 'Histórico dos Sorteios'!E177</f>
        <v>35</v>
      </c>
    </row>
    <row r="178" spans="1:5" x14ac:dyDescent="0.25">
      <c r="A178">
        <v>9</v>
      </c>
      <c r="B178">
        <v>2</v>
      </c>
      <c r="C178">
        <v>7</v>
      </c>
      <c r="D178" t="s">
        <v>190</v>
      </c>
      <c r="E178">
        <f>'Peso dos Apartamentos'!H20 * 'Peso das Vagas'!F18 * 'Histórico dos Sorteios'!E178</f>
        <v>30</v>
      </c>
    </row>
    <row r="179" spans="1:5" x14ac:dyDescent="0.25">
      <c r="A179">
        <v>9</v>
      </c>
      <c r="B179">
        <v>2</v>
      </c>
      <c r="C179">
        <v>8</v>
      </c>
      <c r="D179" t="s">
        <v>191</v>
      </c>
      <c r="E179">
        <f>'Peso dos Apartamentos'!H20 * 'Peso das Vagas'!F19 * 'Histórico dos Sorteios'!E179</f>
        <v>25</v>
      </c>
    </row>
    <row r="180" spans="1:5" x14ac:dyDescent="0.25">
      <c r="A180">
        <v>9</v>
      </c>
      <c r="B180">
        <v>2</v>
      </c>
      <c r="C180">
        <v>9</v>
      </c>
      <c r="D180" t="s">
        <v>192</v>
      </c>
      <c r="E180">
        <f>'Peso dos Apartamentos'!H20 * 'Peso das Vagas'!F20 * 'Histórico dos Sorteios'!E180</f>
        <v>20</v>
      </c>
    </row>
    <row r="181" spans="1:5" x14ac:dyDescent="0.25">
      <c r="A181">
        <v>9</v>
      </c>
      <c r="B181">
        <v>2</v>
      </c>
      <c r="C181">
        <v>10</v>
      </c>
      <c r="D181" t="s">
        <v>193</v>
      </c>
      <c r="E181">
        <f>'Peso dos Apartamentos'!H20 * 'Peso das Vagas'!F21 * 'Histórico dos Sorteios'!E181</f>
        <v>15</v>
      </c>
    </row>
    <row r="182" spans="1:5" x14ac:dyDescent="0.25">
      <c r="A182">
        <v>10</v>
      </c>
      <c r="B182">
        <v>1</v>
      </c>
      <c r="C182">
        <v>1</v>
      </c>
      <c r="D182" t="s">
        <v>194</v>
      </c>
      <c r="E182">
        <f>'Peso dos Apartamentos'!H11 * 'Peso das Vagas'!F2 * 'Histórico dos Sorteios'!E182</f>
        <v>20</v>
      </c>
    </row>
    <row r="183" spans="1:5" x14ac:dyDescent="0.25">
      <c r="A183">
        <v>10</v>
      </c>
      <c r="B183">
        <v>1</v>
      </c>
      <c r="C183">
        <v>2</v>
      </c>
      <c r="D183" t="s">
        <v>195</v>
      </c>
      <c r="E183">
        <f>'Peso dos Apartamentos'!H11 * 'Peso das Vagas'!F3 * 'Histórico dos Sorteios'!E183</f>
        <v>25</v>
      </c>
    </row>
    <row r="184" spans="1:5" x14ac:dyDescent="0.25">
      <c r="A184">
        <v>10</v>
      </c>
      <c r="B184">
        <v>1</v>
      </c>
      <c r="C184">
        <v>3</v>
      </c>
      <c r="D184" t="s">
        <v>196</v>
      </c>
      <c r="E184">
        <f>'Peso dos Apartamentos'!H11 * 'Peso das Vagas'!F4 * 'Histórico dos Sorteios'!E184</f>
        <v>30</v>
      </c>
    </row>
    <row r="185" spans="1:5" x14ac:dyDescent="0.25">
      <c r="A185">
        <v>10</v>
      </c>
      <c r="B185">
        <v>1</v>
      </c>
      <c r="C185">
        <v>4</v>
      </c>
      <c r="D185" t="s">
        <v>197</v>
      </c>
      <c r="E185">
        <f>'Peso dos Apartamentos'!H11 * 'Peso das Vagas'!F5 * 'Histórico dos Sorteios'!E185</f>
        <v>35</v>
      </c>
    </row>
    <row r="186" spans="1:5" x14ac:dyDescent="0.25">
      <c r="A186">
        <v>10</v>
      </c>
      <c r="B186">
        <v>1</v>
      </c>
      <c r="C186">
        <v>5</v>
      </c>
      <c r="D186" t="s">
        <v>198</v>
      </c>
      <c r="E186">
        <f>'Peso dos Apartamentos'!H11 * 'Peso das Vagas'!F6 * 'Histórico dos Sorteios'!E186</f>
        <v>40</v>
      </c>
    </row>
    <row r="187" spans="1:5" x14ac:dyDescent="0.25">
      <c r="A187">
        <v>10</v>
      </c>
      <c r="B187">
        <v>1</v>
      </c>
      <c r="C187">
        <v>6</v>
      </c>
      <c r="D187" t="s">
        <v>199</v>
      </c>
      <c r="E187">
        <f>'Peso dos Apartamentos'!H11 * 'Peso das Vagas'!F7 * 'Histórico dos Sorteios'!E187</f>
        <v>35</v>
      </c>
    </row>
    <row r="188" spans="1:5" x14ac:dyDescent="0.25">
      <c r="A188">
        <v>10</v>
      </c>
      <c r="B188">
        <v>1</v>
      </c>
      <c r="C188">
        <v>7</v>
      </c>
      <c r="D188" t="s">
        <v>200</v>
      </c>
      <c r="E188">
        <f>'Peso dos Apartamentos'!H11 * 'Peso das Vagas'!F8 * 'Histórico dos Sorteios'!E188</f>
        <v>30</v>
      </c>
    </row>
    <row r="189" spans="1:5" x14ac:dyDescent="0.25">
      <c r="A189">
        <v>10</v>
      </c>
      <c r="B189">
        <v>1</v>
      </c>
      <c r="C189">
        <v>8</v>
      </c>
      <c r="D189" t="s">
        <v>201</v>
      </c>
      <c r="E189">
        <f>'Peso dos Apartamentos'!H11 * 'Peso das Vagas'!F9 * 'Histórico dos Sorteios'!E189</f>
        <v>25</v>
      </c>
    </row>
    <row r="190" spans="1:5" x14ac:dyDescent="0.25">
      <c r="A190">
        <v>10</v>
      </c>
      <c r="B190">
        <v>1</v>
      </c>
      <c r="C190">
        <v>9</v>
      </c>
      <c r="D190" t="s">
        <v>202</v>
      </c>
      <c r="E190">
        <f>'Peso dos Apartamentos'!H11 * 'Peso das Vagas'!F10 * 'Histórico dos Sorteios'!E190</f>
        <v>20</v>
      </c>
    </row>
    <row r="191" spans="1:5" x14ac:dyDescent="0.25">
      <c r="A191">
        <v>10</v>
      </c>
      <c r="B191">
        <v>1</v>
      </c>
      <c r="C191">
        <v>10</v>
      </c>
      <c r="D191" t="s">
        <v>203</v>
      </c>
      <c r="E191">
        <f>'Peso dos Apartamentos'!H11 * 'Peso das Vagas'!F11 * 'Histórico dos Sorteios'!E191</f>
        <v>15</v>
      </c>
    </row>
    <row r="192" spans="1:5" x14ac:dyDescent="0.25">
      <c r="A192">
        <v>10</v>
      </c>
      <c r="B192">
        <v>2</v>
      </c>
      <c r="C192">
        <v>1</v>
      </c>
      <c r="D192" t="s">
        <v>204</v>
      </c>
      <c r="E192">
        <f>'Peso dos Apartamentos'!H21 * 'Peso das Vagas'!F12 * 'Histórico dos Sorteios'!E192</f>
        <v>20</v>
      </c>
    </row>
    <row r="193" spans="1:5" x14ac:dyDescent="0.25">
      <c r="A193">
        <v>10</v>
      </c>
      <c r="B193">
        <v>2</v>
      </c>
      <c r="C193">
        <v>2</v>
      </c>
      <c r="D193" t="s">
        <v>205</v>
      </c>
      <c r="E193">
        <f>'Peso dos Apartamentos'!H21 * 'Peso das Vagas'!F13 * 'Histórico dos Sorteios'!E193</f>
        <v>25</v>
      </c>
    </row>
    <row r="194" spans="1:5" x14ac:dyDescent="0.25">
      <c r="A194">
        <v>10</v>
      </c>
      <c r="B194">
        <v>2</v>
      </c>
      <c r="C194">
        <v>3</v>
      </c>
      <c r="D194" t="s">
        <v>206</v>
      </c>
      <c r="E194">
        <f>'Peso dos Apartamentos'!H21 * 'Peso das Vagas'!F14 * 'Histórico dos Sorteios'!E194</f>
        <v>30</v>
      </c>
    </row>
    <row r="195" spans="1:5" x14ac:dyDescent="0.25">
      <c r="A195">
        <v>10</v>
      </c>
      <c r="B195">
        <v>2</v>
      </c>
      <c r="C195">
        <v>4</v>
      </c>
      <c r="D195" t="s">
        <v>207</v>
      </c>
      <c r="E195">
        <f>'Peso dos Apartamentos'!H21 * 'Peso das Vagas'!F15 * 'Histórico dos Sorteios'!E195</f>
        <v>35</v>
      </c>
    </row>
    <row r="196" spans="1:5" x14ac:dyDescent="0.25">
      <c r="A196">
        <v>10</v>
      </c>
      <c r="B196">
        <v>2</v>
      </c>
      <c r="C196">
        <v>5</v>
      </c>
      <c r="D196" t="s">
        <v>208</v>
      </c>
      <c r="E196">
        <f>'Peso dos Apartamentos'!H21 * 'Peso das Vagas'!F16 * 'Histórico dos Sorteios'!E196</f>
        <v>40</v>
      </c>
    </row>
    <row r="197" spans="1:5" x14ac:dyDescent="0.25">
      <c r="A197">
        <v>10</v>
      </c>
      <c r="B197">
        <v>2</v>
      </c>
      <c r="C197">
        <v>6</v>
      </c>
      <c r="D197" t="s">
        <v>209</v>
      </c>
      <c r="E197">
        <f>'Peso dos Apartamentos'!H21 * 'Peso das Vagas'!F17 * 'Histórico dos Sorteios'!E197</f>
        <v>35</v>
      </c>
    </row>
    <row r="198" spans="1:5" x14ac:dyDescent="0.25">
      <c r="A198">
        <v>10</v>
      </c>
      <c r="B198">
        <v>2</v>
      </c>
      <c r="C198">
        <v>7</v>
      </c>
      <c r="D198" t="s">
        <v>210</v>
      </c>
      <c r="E198">
        <f>'Peso dos Apartamentos'!H21 * 'Peso das Vagas'!F18 * 'Histórico dos Sorteios'!E198</f>
        <v>30</v>
      </c>
    </row>
    <row r="199" spans="1:5" x14ac:dyDescent="0.25">
      <c r="A199">
        <v>10</v>
      </c>
      <c r="B199">
        <v>2</v>
      </c>
      <c r="C199">
        <v>8</v>
      </c>
      <c r="D199" t="s">
        <v>211</v>
      </c>
      <c r="E199">
        <f>'Peso dos Apartamentos'!H21 * 'Peso das Vagas'!F19 * 'Histórico dos Sorteios'!E199</f>
        <v>25</v>
      </c>
    </row>
    <row r="200" spans="1:5" x14ac:dyDescent="0.25">
      <c r="A200">
        <v>10</v>
      </c>
      <c r="B200">
        <v>2</v>
      </c>
      <c r="C200">
        <v>9</v>
      </c>
      <c r="D200" t="s">
        <v>212</v>
      </c>
      <c r="E200">
        <f>'Peso dos Apartamentos'!H21 * 'Peso das Vagas'!F20 * 'Histórico dos Sorteios'!E200</f>
        <v>20</v>
      </c>
    </row>
    <row r="201" spans="1:5" x14ac:dyDescent="0.25">
      <c r="A201">
        <v>10</v>
      </c>
      <c r="B201">
        <v>2</v>
      </c>
      <c r="C201">
        <v>10</v>
      </c>
      <c r="D201" t="s">
        <v>213</v>
      </c>
      <c r="E201">
        <f>'Peso dos Apartamentos'!H21 * 'Peso das Vagas'!F21 * 'Histórico dos Sorteios'!E201</f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Peso dos Apartamentos</vt:lpstr>
      <vt:lpstr>Peso das Vagas</vt:lpstr>
      <vt:lpstr>Histórico dos Sorteios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Altheman</dc:creator>
  <cp:lastModifiedBy>Breno Altheman</cp:lastModifiedBy>
  <dcterms:created xsi:type="dcterms:W3CDTF">2018-09-12T17:36:06Z</dcterms:created>
  <dcterms:modified xsi:type="dcterms:W3CDTF">2018-09-24T21:24:31Z</dcterms:modified>
</cp:coreProperties>
</file>